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bhan\Desktop\Campus Placement Intelligence Analytics\excel\"/>
    </mc:Choice>
  </mc:AlternateContent>
  <xr:revisionPtr revIDLastSave="0" documentId="13_ncr:1_{A9051235-ED0A-4B99-B3A3-5F2ECBCD8DDE}" xr6:coauthVersionLast="47" xr6:coauthVersionMax="47" xr10:uidLastSave="{00000000-0000-0000-0000-000000000000}"/>
  <bookViews>
    <workbookView xWindow="-108" yWindow="-108" windowWidth="23256" windowHeight="13896" activeTab="1" xr2:uid="{6119B643-F6AE-48DD-A516-32B6BA89993F}"/>
  </bookViews>
  <sheets>
    <sheet name="Pivot_PlacementRate" sheetId="3" r:id="rId1"/>
    <sheet name="Charts" sheetId="5" r:id="rId2"/>
    <sheet name="Pivot_CTC" sheetId="4" r:id="rId3"/>
    <sheet name="placements_data" sheetId="2" r:id="rId4"/>
    <sheet name="RawData" sheetId="1" r:id="rId5"/>
  </sheets>
  <definedNames>
    <definedName name="ExternalData_1" localSheetId="3" hidden="1">placements_data!$A$1:$N$61</definedName>
  </definedNames>
  <calcPr calcId="191029"/>
  <pivotCaches>
    <pivotCache cacheId="6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61E11C0-B79C-4900-8AF8-F793E1EA3A4A}" keepAlive="1" name="Query - placements_data" description="Connection to the 'placements_data' query in the workbook." type="5" refreshedVersion="8" background="1" saveData="1">
    <dbPr connection="Provider=Microsoft.Mashup.OleDb.1;Data Source=$Workbook$;Location=placements_data;Extended Properties=&quot;&quot;" command="SELECT * FROM [placements_data]"/>
  </connection>
</connections>
</file>

<file path=xl/sharedStrings.xml><?xml version="1.0" encoding="utf-8"?>
<sst xmlns="http://schemas.openxmlformats.org/spreadsheetml/2006/main" count="571" uniqueCount="124">
  <si>
    <t>student_id</t>
  </si>
  <si>
    <t>name</t>
  </si>
  <si>
    <t>gender</t>
  </si>
  <si>
    <t>category</t>
  </si>
  <si>
    <t>branch</t>
  </si>
  <si>
    <t>college_tier</t>
  </si>
  <si>
    <t>cgpa</t>
  </si>
  <si>
    <t>internships</t>
  </si>
  <si>
    <t>certifications</t>
  </si>
  <si>
    <t>skills</t>
  </si>
  <si>
    <t>placement_status</t>
  </si>
  <si>
    <t>company_type</t>
  </si>
  <si>
    <t>ctc_lakhs</t>
  </si>
  <si>
    <t>location</t>
  </si>
  <si>
    <t>Aarav Sharma</t>
  </si>
  <si>
    <t>Male</t>
  </si>
  <si>
    <t>General</t>
  </si>
  <si>
    <t>CSE</t>
  </si>
  <si>
    <t>Tier-1</t>
  </si>
  <si>
    <t>Python,SQL,Machine Learning</t>
  </si>
  <si>
    <t>Placed</t>
  </si>
  <si>
    <t>Product</t>
  </si>
  <si>
    <t>Bangalore</t>
  </si>
  <si>
    <t>Ishani Verma</t>
  </si>
  <si>
    <t>Female</t>
  </si>
  <si>
    <t>OBC</t>
  </si>
  <si>
    <t>ECE</t>
  </si>
  <si>
    <t>Java,SQL,Data Analysis</t>
  </si>
  <si>
    <t>Service</t>
  </si>
  <si>
    <t>Hyderabad</t>
  </si>
  <si>
    <t>Rohan Patel</t>
  </si>
  <si>
    <t>MECH</t>
  </si>
  <si>
    <t>Tier-2</t>
  </si>
  <si>
    <t>AutoCAD,SolidWorks</t>
  </si>
  <si>
    <t>Not Placed</t>
  </si>
  <si>
    <t/>
  </si>
  <si>
    <t>Sneha Reddy</t>
  </si>
  <si>
    <t>SC</t>
  </si>
  <si>
    <t>Python,SQL,Tableau,Power BI</t>
  </si>
  <si>
    <t>Aditya Singh</t>
  </si>
  <si>
    <t>CIVIL</t>
  </si>
  <si>
    <t>AutoCAD,STAAD Pro</t>
  </si>
  <si>
    <t>Core</t>
  </si>
  <si>
    <t>Pune</t>
  </si>
  <si>
    <t>Priya Nair</t>
  </si>
  <si>
    <t>EEE</t>
  </si>
  <si>
    <t>MATLAB,Python,Embedded Systems</t>
  </si>
  <si>
    <t>Chennai</t>
  </si>
  <si>
    <t>Vikram Rao</t>
  </si>
  <si>
    <t>Java,Spring,SQL</t>
  </si>
  <si>
    <t>Ananya Das</t>
  </si>
  <si>
    <t>Karan Mehta</t>
  </si>
  <si>
    <t>Tier-3</t>
  </si>
  <si>
    <t>Divya Iyer</t>
  </si>
  <si>
    <t>Python,SQL,Web Development</t>
  </si>
  <si>
    <t>Startup</t>
  </si>
  <si>
    <t>Remote</t>
  </si>
  <si>
    <t>Arjun Kapoor</t>
  </si>
  <si>
    <t>Python,SQL,Machine Learning,Cloud</t>
  </si>
  <si>
    <t>Neha Gupta</t>
  </si>
  <si>
    <t>Java,SQL</t>
  </si>
  <si>
    <t>Rahul Joshi</t>
  </si>
  <si>
    <t>AutoCAD</t>
  </si>
  <si>
    <t>Pooja Desai</t>
  </si>
  <si>
    <t>Python,Embedded Systems,SQL</t>
  </si>
  <si>
    <t>Siddharth Bose</t>
  </si>
  <si>
    <t>Java,Web Development</t>
  </si>
  <si>
    <t>Tara Menon</t>
  </si>
  <si>
    <t>Python,SQL,Data Analysis</t>
  </si>
  <si>
    <t>Nikhil Kumar</t>
  </si>
  <si>
    <t>SolidWorks,CATIA</t>
  </si>
  <si>
    <t>Kavya Reddy</t>
  </si>
  <si>
    <t>Amit Singh</t>
  </si>
  <si>
    <t>AutoCAD,MS Project</t>
  </si>
  <si>
    <t>Deepak Yadav</t>
  </si>
  <si>
    <t>MATLAB</t>
  </si>
  <si>
    <t>Meera Iyer</t>
  </si>
  <si>
    <t>Rohan Verma</t>
  </si>
  <si>
    <t>Anjali Nair</t>
  </si>
  <si>
    <t>Karthik Reddy</t>
  </si>
  <si>
    <t>Swati Joshi</t>
  </si>
  <si>
    <t>Vivek Singh</t>
  </si>
  <si>
    <t>MATLAB,Python</t>
  </si>
  <si>
    <t>Priyanka Das</t>
  </si>
  <si>
    <t>Akash Mehta</t>
  </si>
  <si>
    <t>Python,SQL,Embedded Systems</t>
  </si>
  <si>
    <t>Nisha Kapoor</t>
  </si>
  <si>
    <t>Ravi Iyer</t>
  </si>
  <si>
    <t>Sonia Gupta</t>
  </si>
  <si>
    <t>Manish Kumar</t>
  </si>
  <si>
    <t>Anita Sharma</t>
  </si>
  <si>
    <t>Suresh Reddy</t>
  </si>
  <si>
    <t>Rekha Bose</t>
  </si>
  <si>
    <t>Ajay Menon</t>
  </si>
  <si>
    <t>Geeta Kumar</t>
  </si>
  <si>
    <t>Sanjay Reddy</t>
  </si>
  <si>
    <t>Latika Singh</t>
  </si>
  <si>
    <t>Harish Yadav</t>
  </si>
  <si>
    <t>Nandini Iyer</t>
  </si>
  <si>
    <t>Prakash Verma</t>
  </si>
  <si>
    <t>Sunita Nair</t>
  </si>
  <si>
    <t>Dinesh Reddy</t>
  </si>
  <si>
    <t>Shalini Joshi</t>
  </si>
  <si>
    <t>Ramesh Singh</t>
  </si>
  <si>
    <t>Usha Das</t>
  </si>
  <si>
    <t>Mohan Mehta</t>
  </si>
  <si>
    <t>Preeti Kapoor</t>
  </si>
  <si>
    <t>Sachin Iyer</t>
  </si>
  <si>
    <t>Seema Gupta</t>
  </si>
  <si>
    <t>Arun Kumar</t>
  </si>
  <si>
    <t>Mala Sharma</t>
  </si>
  <si>
    <t>Krishna Reddy</t>
  </si>
  <si>
    <t>Latha Bose</t>
  </si>
  <si>
    <t>Anil Menon</t>
  </si>
  <si>
    <t>Uma Kumar</t>
  </si>
  <si>
    <t>Pradeep Reddy</t>
  </si>
  <si>
    <t>Sarojini Singh</t>
  </si>
  <si>
    <t>Naresh Yadav</t>
  </si>
  <si>
    <t>Row Labels</t>
  </si>
  <si>
    <t>Grand Total</t>
  </si>
  <si>
    <t>Count of placement_status</t>
  </si>
  <si>
    <t>Count of placement_status2</t>
  </si>
  <si>
    <t>(All)</t>
  </si>
  <si>
    <t>Average of ctc_lakhs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</si>
</sst>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[placement_analysis.xlsx]Pivot_PlacementRate!PivotTable1</c:name>
    <c:fmtId val="1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Pivot_PlacementRate!$B$3</c:f>
              <c:strCache>
                <c:ptCount val="1"/>
                <c:pt idx="0">
                  <c:v>Count of placement_status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Pivot_PlacementRate!$A$4:$A$9</c:f>
              <c:strCache>
                <c:ptCount val="5"/>
                <c:pt idx="0">
                  <c:v>CIVIL</c:v>
                </c:pt>
                <c:pt idx="1">
                  <c:v>CSE</c:v>
                </c:pt>
                <c:pt idx="2">
                  <c:v>ECE</c:v>
                </c:pt>
                <c:pt idx="3">
                  <c:v>EEE</c:v>
                </c:pt>
                <c:pt idx="4">
                  <c:v>MECH</c:v>
                </c:pt>
              </c:strCache>
            </c:strRef>
          </c:cat>
          <c:val>
            <c:numRef>
              <c:f>Pivot_PlacementRate!$B$4:$B$9</c:f>
              <c:numCache>
                <c:formatCode>General</c:formatCode>
                <c:ptCount val="5"/>
                <c:pt idx="0">
                  <c:v>9</c:v>
                </c:pt>
                <c:pt idx="1">
                  <c:v>21</c:v>
                </c:pt>
                <c:pt idx="2">
                  <c:v>12</c:v>
                </c:pt>
                <c:pt idx="3">
                  <c:v>9</c:v>
                </c:pt>
                <c:pt idx="4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3F-4C83-9BEF-10693C5F01CE}"/>
            </c:ext>
          </c:extLst>
        </c:ser>
        <c:ser>
          <c:idx val="1"/>
          <c:order val="1"/>
          <c:tx>
            <c:strRef>
              <c:f>Pivot_PlacementRate!$C$3</c:f>
              <c:strCache>
                <c:ptCount val="1"/>
                <c:pt idx="0">
                  <c:v>Count of placement_status2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Pivot_PlacementRate!$A$4:$A$9</c:f>
              <c:strCache>
                <c:ptCount val="5"/>
                <c:pt idx="0">
                  <c:v>CIVIL</c:v>
                </c:pt>
                <c:pt idx="1">
                  <c:v>CSE</c:v>
                </c:pt>
                <c:pt idx="2">
                  <c:v>ECE</c:v>
                </c:pt>
                <c:pt idx="3">
                  <c:v>EEE</c:v>
                </c:pt>
                <c:pt idx="4">
                  <c:v>MECH</c:v>
                </c:pt>
              </c:strCache>
            </c:strRef>
          </c:cat>
          <c:val>
            <c:numRef>
              <c:f>Pivot_PlacementRate!$C$4:$C$9</c:f>
              <c:numCache>
                <c:formatCode>0.00%</c:formatCode>
                <c:ptCount val="5"/>
                <c:pt idx="0">
                  <c:v>0.15</c:v>
                </c:pt>
                <c:pt idx="1">
                  <c:v>0.35</c:v>
                </c:pt>
                <c:pt idx="2">
                  <c:v>0.2</c:v>
                </c:pt>
                <c:pt idx="3">
                  <c:v>0.15</c:v>
                </c:pt>
                <c:pt idx="4">
                  <c:v>0.15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73F-4C83-9BEF-10693C5F01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58291871"/>
        <c:axId val="1878538511"/>
      </c:barChart>
      <c:catAx>
        <c:axId val="17582918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8538511"/>
        <c:crosses val="autoZero"/>
        <c:auto val="1"/>
        <c:lblAlgn val="ctr"/>
        <c:lblOffset val="100"/>
        <c:noMultiLvlLbl val="0"/>
      </c:catAx>
      <c:valAx>
        <c:axId val="1878538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82918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[placement_analysis.xlsx]Pivot_CTC!PivotTable2</c:name>
    <c:fmtId val="2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Pivot_CTC!$B$3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Pivot_CTC!$A$4:$A$7</c:f>
              <c:strCache>
                <c:ptCount val="3"/>
                <c:pt idx="0">
                  <c:v>Tier-1</c:v>
                </c:pt>
                <c:pt idx="1">
                  <c:v>Tier-2</c:v>
                </c:pt>
                <c:pt idx="2">
                  <c:v>Tier-3</c:v>
                </c:pt>
              </c:strCache>
            </c:strRef>
          </c:cat>
          <c:val>
            <c:numRef>
              <c:f>Pivot_CTC!$B$4:$B$7</c:f>
              <c:numCache>
                <c:formatCode>General</c:formatCode>
                <c:ptCount val="3"/>
                <c:pt idx="0">
                  <c:v>12.736363636363636</c:v>
                </c:pt>
                <c:pt idx="1">
                  <c:v>6.1666666666666643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94-4C55-8914-56FEB7D32A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58343375"/>
        <c:axId val="1878555791"/>
      </c:barChart>
      <c:catAx>
        <c:axId val="17583433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8555791"/>
        <c:crosses val="autoZero"/>
        <c:auto val="1"/>
        <c:lblAlgn val="ctr"/>
        <c:lblOffset val="100"/>
        <c:noMultiLvlLbl val="0"/>
      </c:catAx>
      <c:valAx>
        <c:axId val="18785557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83433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426720</xdr:colOff>
      <xdr:row>9</xdr:row>
      <xdr:rowOff>0</xdr:rowOff>
    </xdr:from>
    <xdr:to>
      <xdr:col>9</xdr:col>
      <xdr:colOff>121920</xdr:colOff>
      <xdr:row>24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10F2251-A8D4-4C65-B7C9-64CD2CD4678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22860</xdr:colOff>
      <xdr:row>0</xdr:row>
      <xdr:rowOff>60960</xdr:rowOff>
    </xdr:from>
    <xdr:to>
      <xdr:col>10</xdr:col>
      <xdr:colOff>472440</xdr:colOff>
      <xdr:row>2</xdr:row>
      <xdr:rowOff>83820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2CD2858D-B368-FAB7-EFB3-D7FBC130DB85}"/>
            </a:ext>
          </a:extLst>
        </xdr:cNvPr>
        <xdr:cNvSpPr txBox="1"/>
      </xdr:nvSpPr>
      <xdr:spPr>
        <a:xfrm>
          <a:off x="4290060" y="60960"/>
          <a:ext cx="2278380" cy="3886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400"/>
            <a:t>“Placement Rate by Branch”</a:t>
          </a:r>
        </a:p>
      </xdr:txBody>
    </xdr:sp>
    <xdr:clientData/>
  </xdr:twoCellAnchor>
  <xdr:twoCellAnchor>
    <xdr:from>
      <xdr:col>6</xdr:col>
      <xdr:colOff>373380</xdr:colOff>
      <xdr:row>2</xdr:row>
      <xdr:rowOff>91440</xdr:rowOff>
    </xdr:from>
    <xdr:to>
      <xdr:col>11</xdr:col>
      <xdr:colOff>76200</xdr:colOff>
      <xdr:row>5</xdr:row>
      <xdr:rowOff>106680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3CAD073-DD28-4A23-8270-46C9FD3648F6}"/>
            </a:ext>
          </a:extLst>
        </xdr:cNvPr>
        <xdr:cNvSpPr txBox="1"/>
      </xdr:nvSpPr>
      <xdr:spPr>
        <a:xfrm>
          <a:off x="4030980" y="457200"/>
          <a:ext cx="2750820" cy="5638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400"/>
            <a:t>“Average CTC by College Tier (Placed Students)”</a:t>
          </a:r>
        </a:p>
      </xdr:txBody>
    </xdr:sp>
    <xdr:clientData/>
  </xdr:twoCellAnchor>
  <xdr:twoCellAnchor>
    <xdr:from>
      <xdr:col>9</xdr:col>
      <xdr:colOff>533400</xdr:colOff>
      <xdr:row>8</xdr:row>
      <xdr:rowOff>144780</xdr:rowOff>
    </xdr:from>
    <xdr:to>
      <xdr:col>17</xdr:col>
      <xdr:colOff>228600</xdr:colOff>
      <xdr:row>24</xdr:row>
      <xdr:rowOff>106680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8A80F70-ED17-45FE-AB42-9C2D04F285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hanu Prasad" refreshedDate="46255.608628240741" createdVersion="8" refreshedVersion="8" minRefreshableVersion="3" recordCount="60" xr:uid="{254AE8C2-02A0-4575-841C-186DD4FE8917}">
  <cacheSource type="worksheet">
    <worksheetSource name="placements_data"/>
  </cacheSource>
  <cacheFields count="14">
    <cacheField name="student_id" numFmtId="0">
      <sharedItems containsSemiMixedTypes="0" containsString="0" containsNumber="1" containsInteger="1" minValue="1" maxValue="60"/>
    </cacheField>
    <cacheField name="name" numFmtId="0">
      <sharedItems/>
    </cacheField>
    <cacheField name="gender" numFmtId="0">
      <sharedItems/>
    </cacheField>
    <cacheField name="category" numFmtId="0">
      <sharedItems/>
    </cacheField>
    <cacheField name="branch" numFmtId="0">
      <sharedItems count="5">
        <s v="CSE"/>
        <s v="ECE"/>
        <s v="MECH"/>
        <s v="CIVIL"/>
        <s v="EEE"/>
      </sharedItems>
    </cacheField>
    <cacheField name="college_tier" numFmtId="0">
      <sharedItems count="3">
        <s v="Tier-1"/>
        <s v="Tier-2"/>
        <s v="Tier-3"/>
      </sharedItems>
    </cacheField>
    <cacheField name="cgpa" numFmtId="0">
      <sharedItems containsSemiMixedTypes="0" containsString="0" containsNumber="1" minValue="5.8" maxValue="9.4"/>
    </cacheField>
    <cacheField name="internships" numFmtId="0">
      <sharedItems containsSemiMixedTypes="0" containsString="0" containsNumber="1" containsInteger="1" minValue="0" maxValue="3"/>
    </cacheField>
    <cacheField name="certifications" numFmtId="0">
      <sharedItems containsSemiMixedTypes="0" containsString="0" containsNumber="1" containsInteger="1" minValue="0" maxValue="5"/>
    </cacheField>
    <cacheField name="skills" numFmtId="0">
      <sharedItems/>
    </cacheField>
    <cacheField name="placement_status" numFmtId="0">
      <sharedItems count="2">
        <s v="Placed"/>
        <s v="Not Placed"/>
      </sharedItems>
    </cacheField>
    <cacheField name="company_type" numFmtId="0">
      <sharedItems/>
    </cacheField>
    <cacheField name="ctc_lakhs" numFmtId="0">
      <sharedItems containsSemiMixedTypes="0" containsString="0" containsNumber="1" minValue="0" maxValue="18.5"/>
    </cacheField>
    <cacheField name="locatio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">
  <r>
    <n v="1"/>
    <s v="Aarav Sharma"/>
    <s v="Male"/>
    <s v="General"/>
    <x v="0"/>
    <x v="0"/>
    <n v="8.6999999999999993"/>
    <n v="2"/>
    <n v="3"/>
    <s v="Python,SQL,Machine Learning"/>
    <x v="0"/>
    <s v="Product"/>
    <n v="12.5"/>
    <s v="Bangalore"/>
  </r>
  <r>
    <n v="2"/>
    <s v="Ishani Verma"/>
    <s v="Female"/>
    <s v="OBC"/>
    <x v="1"/>
    <x v="0"/>
    <n v="7.9"/>
    <n v="1"/>
    <n v="2"/>
    <s v="Java,SQL,Data Analysis"/>
    <x v="0"/>
    <s v="Service"/>
    <n v="6.8"/>
    <s v="Hyderabad"/>
  </r>
  <r>
    <n v="3"/>
    <s v="Rohan Patel"/>
    <s v="Male"/>
    <s v="General"/>
    <x v="2"/>
    <x v="1"/>
    <n v="6.5"/>
    <n v="0"/>
    <n v="1"/>
    <s v="AutoCAD,SolidWorks"/>
    <x v="1"/>
    <s v=""/>
    <n v="0"/>
    <s v=""/>
  </r>
  <r>
    <n v="4"/>
    <s v="Sneha Reddy"/>
    <s v="Female"/>
    <s v="SC"/>
    <x v="0"/>
    <x v="0"/>
    <n v="9.1"/>
    <n v="3"/>
    <n v="4"/>
    <s v="Python,SQL,Tableau,Power BI"/>
    <x v="0"/>
    <s v="Product"/>
    <n v="15"/>
    <s v="Bangalore"/>
  </r>
  <r>
    <n v="5"/>
    <s v="Aditya Singh"/>
    <s v="Male"/>
    <s v="General"/>
    <x v="3"/>
    <x v="1"/>
    <n v="7.2"/>
    <n v="1"/>
    <n v="1"/>
    <s v="AutoCAD,STAAD Pro"/>
    <x v="0"/>
    <s v="Core"/>
    <n v="5.2"/>
    <s v="Pune"/>
  </r>
  <r>
    <n v="6"/>
    <s v="Priya Nair"/>
    <s v="Female"/>
    <s v="OBC"/>
    <x v="4"/>
    <x v="1"/>
    <n v="8"/>
    <n v="2"/>
    <n v="2"/>
    <s v="MATLAB,Python,Embedded Systems"/>
    <x v="0"/>
    <s v="Service"/>
    <n v="7"/>
    <s v="Chennai"/>
  </r>
  <r>
    <n v="7"/>
    <s v="Vikram Rao"/>
    <s v="Male"/>
    <s v="General"/>
    <x v="0"/>
    <x v="0"/>
    <n v="8.3000000000000007"/>
    <n v="1"/>
    <n v="2"/>
    <s v="Java,Spring,SQL"/>
    <x v="0"/>
    <s v="Product"/>
    <n v="10.5"/>
    <s v="Bangalore"/>
  </r>
  <r>
    <n v="8"/>
    <s v="Ananya Das"/>
    <s v="Female"/>
    <s v="General"/>
    <x v="1"/>
    <x v="0"/>
    <n v="8.8000000000000007"/>
    <n v="2"/>
    <n v="3"/>
    <s v="Python,SQL,Machine Learning"/>
    <x v="0"/>
    <s v="Product"/>
    <n v="13"/>
    <s v="Hyderabad"/>
  </r>
  <r>
    <n v="9"/>
    <s v="Karan Mehta"/>
    <s v="Male"/>
    <s v="OBC"/>
    <x v="2"/>
    <x v="2"/>
    <n v="6"/>
    <n v="0"/>
    <n v="0"/>
    <s v=""/>
    <x v="1"/>
    <s v=""/>
    <n v="0"/>
    <s v=""/>
  </r>
  <r>
    <n v="10"/>
    <s v="Divya Iyer"/>
    <s v="Female"/>
    <s v="SC"/>
    <x v="0"/>
    <x v="1"/>
    <n v="7.5"/>
    <n v="1"/>
    <n v="2"/>
    <s v="Python,SQL,Web Development"/>
    <x v="0"/>
    <s v="Startup"/>
    <n v="6"/>
    <s v="Remote"/>
  </r>
  <r>
    <n v="11"/>
    <s v="Arjun Kapoor"/>
    <s v="Male"/>
    <s v="General"/>
    <x v="0"/>
    <x v="0"/>
    <n v="9.3000000000000007"/>
    <n v="3"/>
    <n v="5"/>
    <s v="Python,SQL,Machine Learning,Cloud"/>
    <x v="0"/>
    <s v="Product"/>
    <n v="18"/>
    <s v="Bangalore"/>
  </r>
  <r>
    <n v="12"/>
    <s v="Neha Gupta"/>
    <s v="Female"/>
    <s v="General"/>
    <x v="1"/>
    <x v="1"/>
    <n v="7.8"/>
    <n v="1"/>
    <n v="1"/>
    <s v="Java,SQL"/>
    <x v="0"/>
    <s v="Service"/>
    <n v="6.5"/>
    <s v="Hyderabad"/>
  </r>
  <r>
    <n v="13"/>
    <s v="Rahul Joshi"/>
    <s v="Male"/>
    <s v="OBC"/>
    <x v="3"/>
    <x v="2"/>
    <n v="6.2"/>
    <n v="0"/>
    <n v="1"/>
    <s v="AutoCAD"/>
    <x v="1"/>
    <s v=""/>
    <n v="0"/>
    <s v=""/>
  </r>
  <r>
    <n v="14"/>
    <s v="Pooja Desai"/>
    <s v="Female"/>
    <s v="General"/>
    <x v="4"/>
    <x v="0"/>
    <n v="8.4"/>
    <n v="2"/>
    <n v="2"/>
    <s v="Python,Embedded Systems,SQL"/>
    <x v="0"/>
    <s v="Core"/>
    <n v="8.5"/>
    <s v="Pune"/>
  </r>
  <r>
    <n v="15"/>
    <s v="Siddharth Bose"/>
    <s v="Male"/>
    <s v="General"/>
    <x v="0"/>
    <x v="1"/>
    <n v="7"/>
    <n v="1"/>
    <n v="1"/>
    <s v="Java,Web Development"/>
    <x v="0"/>
    <s v="Service"/>
    <n v="5.5"/>
    <s v="Chennai"/>
  </r>
  <r>
    <n v="16"/>
    <s v="Tara Menon"/>
    <s v="Female"/>
    <s v="SC"/>
    <x v="1"/>
    <x v="1"/>
    <n v="8.1"/>
    <n v="2"/>
    <n v="2"/>
    <s v="Python,SQL,Data Analysis"/>
    <x v="0"/>
    <s v="Product"/>
    <n v="9"/>
    <s v="Bangalore"/>
  </r>
  <r>
    <n v="17"/>
    <s v="Nikhil Kumar"/>
    <s v="Male"/>
    <s v="OBC"/>
    <x v="2"/>
    <x v="1"/>
    <n v="6.8"/>
    <n v="1"/>
    <n v="1"/>
    <s v="SolidWorks,CATIA"/>
    <x v="0"/>
    <s v="Core"/>
    <n v="5.8"/>
    <s v="Pune"/>
  </r>
  <r>
    <n v="18"/>
    <s v="Kavya Reddy"/>
    <s v="Female"/>
    <s v="General"/>
    <x v="0"/>
    <x v="0"/>
    <n v="8.9"/>
    <n v="2"/>
    <n v="3"/>
    <s v="Python,SQL,Machine Learning"/>
    <x v="0"/>
    <s v="Product"/>
    <n v="14"/>
    <s v="Bangalore"/>
  </r>
  <r>
    <n v="19"/>
    <s v="Amit Singh"/>
    <s v="Male"/>
    <s v="General"/>
    <x v="3"/>
    <x v="1"/>
    <n v="7.3"/>
    <n v="1"/>
    <n v="1"/>
    <s v="AutoCAD,MS Project"/>
    <x v="0"/>
    <s v="Service"/>
    <n v="6"/>
    <s v="Hyderabad"/>
  </r>
  <r>
    <n v="20"/>
    <s v="Deepak Yadav"/>
    <s v="Male"/>
    <s v="OBC"/>
    <x v="4"/>
    <x v="2"/>
    <n v="6.4"/>
    <n v="0"/>
    <n v="1"/>
    <s v="MATLAB"/>
    <x v="1"/>
    <s v=""/>
    <n v="0"/>
    <s v=""/>
  </r>
  <r>
    <n v="21"/>
    <s v="Meera Iyer"/>
    <s v="Female"/>
    <s v="General"/>
    <x v="0"/>
    <x v="0"/>
    <n v="8.5"/>
    <n v="2"/>
    <n v="2"/>
    <s v="Python,SQL,Data Analysis"/>
    <x v="0"/>
    <s v="Product"/>
    <n v="11"/>
    <s v="Bangalore"/>
  </r>
  <r>
    <n v="22"/>
    <s v="Rohan Verma"/>
    <s v="Male"/>
    <s v="OBC"/>
    <x v="1"/>
    <x v="1"/>
    <n v="7.4"/>
    <n v="1"/>
    <n v="1"/>
    <s v="Java,SQL"/>
    <x v="0"/>
    <s v="Service"/>
    <n v="6.2"/>
    <s v="Hyderabad"/>
  </r>
  <r>
    <n v="23"/>
    <s v="Anjali Nair"/>
    <s v="Female"/>
    <s v="SC"/>
    <x v="2"/>
    <x v="2"/>
    <n v="6.1"/>
    <n v="0"/>
    <n v="1"/>
    <s v="AutoCAD"/>
    <x v="1"/>
    <s v=""/>
    <n v="0"/>
    <s v=""/>
  </r>
  <r>
    <n v="24"/>
    <s v="Karthik Reddy"/>
    <s v="Male"/>
    <s v="General"/>
    <x v="0"/>
    <x v="0"/>
    <n v="9"/>
    <n v="3"/>
    <n v="3"/>
    <s v="Python,SQL,Machine Learning"/>
    <x v="0"/>
    <s v="Product"/>
    <n v="16.5"/>
    <s v="Bangalore"/>
  </r>
  <r>
    <n v="25"/>
    <s v="Swati Joshi"/>
    <s v="Female"/>
    <s v="General"/>
    <x v="3"/>
    <x v="1"/>
    <n v="7"/>
    <n v="1"/>
    <n v="1"/>
    <s v="AutoCAD,STAAD Pro"/>
    <x v="0"/>
    <s v="Core"/>
    <n v="5"/>
    <s v="Pune"/>
  </r>
  <r>
    <n v="26"/>
    <s v="Vivek Singh"/>
    <s v="Male"/>
    <s v="OBC"/>
    <x v="4"/>
    <x v="1"/>
    <n v="7.7"/>
    <n v="1"/>
    <n v="2"/>
    <s v="MATLAB,Python"/>
    <x v="0"/>
    <s v="Service"/>
    <n v="6.8"/>
    <s v="Chennai"/>
  </r>
  <r>
    <n v="27"/>
    <s v="Priyanka Das"/>
    <s v="Female"/>
    <s v="General"/>
    <x v="0"/>
    <x v="0"/>
    <n v="8.6"/>
    <n v="2"/>
    <n v="2"/>
    <s v="Java,Spring,SQL"/>
    <x v="0"/>
    <s v="Product"/>
    <n v="12"/>
    <s v="Bangalore"/>
  </r>
  <r>
    <n v="28"/>
    <s v="Akash Mehta"/>
    <s v="Male"/>
    <s v="General"/>
    <x v="1"/>
    <x v="0"/>
    <n v="8.1999999999999993"/>
    <n v="2"/>
    <n v="2"/>
    <s v="Python,SQL,Embedded Systems"/>
    <x v="0"/>
    <s v="Product"/>
    <n v="11.5"/>
    <s v="Hyderabad"/>
  </r>
  <r>
    <n v="29"/>
    <s v="Nisha Kapoor"/>
    <s v="Female"/>
    <s v="OBC"/>
    <x v="2"/>
    <x v="2"/>
    <n v="5.9"/>
    <n v="0"/>
    <n v="0"/>
    <s v=""/>
    <x v="1"/>
    <s v=""/>
    <n v="0"/>
    <s v=""/>
  </r>
  <r>
    <n v="30"/>
    <s v="Ravi Iyer"/>
    <s v="Male"/>
    <s v="SC"/>
    <x v="0"/>
    <x v="1"/>
    <n v="7.6"/>
    <n v="1"/>
    <n v="2"/>
    <s v="Python,SQL,Web Development"/>
    <x v="0"/>
    <s v="Startup"/>
    <n v="6.5"/>
    <s v="Remote"/>
  </r>
  <r>
    <n v="31"/>
    <s v="Sonia Gupta"/>
    <s v="Female"/>
    <s v="General"/>
    <x v="0"/>
    <x v="0"/>
    <n v="9.1999999999999993"/>
    <n v="3"/>
    <n v="4"/>
    <s v="Python,SQL,Machine Learning,Cloud"/>
    <x v="0"/>
    <s v="Product"/>
    <n v="17"/>
    <s v="Bangalore"/>
  </r>
  <r>
    <n v="32"/>
    <s v="Manish Kumar"/>
    <s v="Male"/>
    <s v="OBC"/>
    <x v="1"/>
    <x v="1"/>
    <n v="7.3"/>
    <n v="1"/>
    <n v="1"/>
    <s v="Java,SQL"/>
    <x v="0"/>
    <s v="Service"/>
    <n v="6"/>
    <s v="Hyderabad"/>
  </r>
  <r>
    <n v="33"/>
    <s v="Anita Sharma"/>
    <s v="Female"/>
    <s v="General"/>
    <x v="3"/>
    <x v="2"/>
    <n v="6.3"/>
    <n v="0"/>
    <n v="1"/>
    <s v="AutoCAD"/>
    <x v="1"/>
    <s v=""/>
    <n v="0"/>
    <s v=""/>
  </r>
  <r>
    <n v="34"/>
    <s v="Suresh Reddy"/>
    <s v="Male"/>
    <s v="General"/>
    <x v="4"/>
    <x v="0"/>
    <n v="8.1"/>
    <n v="2"/>
    <n v="2"/>
    <s v="Python,Embedded Systems,SQL"/>
    <x v="0"/>
    <s v="Core"/>
    <n v="8"/>
    <s v="Pune"/>
  </r>
  <r>
    <n v="35"/>
    <s v="Rekha Bose"/>
    <s v="Female"/>
    <s v="General"/>
    <x v="0"/>
    <x v="1"/>
    <n v="7.2"/>
    <n v="1"/>
    <n v="1"/>
    <s v="Java,Web Development"/>
    <x v="0"/>
    <s v="Service"/>
    <n v="5.8"/>
    <s v="Chennai"/>
  </r>
  <r>
    <n v="36"/>
    <s v="Ajay Menon"/>
    <s v="Male"/>
    <s v="SC"/>
    <x v="1"/>
    <x v="1"/>
    <n v="8"/>
    <n v="2"/>
    <n v="2"/>
    <s v="Python,SQL,Data Analysis"/>
    <x v="0"/>
    <s v="Product"/>
    <n v="9.5"/>
    <s v="Bangalore"/>
  </r>
  <r>
    <n v="37"/>
    <s v="Geeta Kumar"/>
    <s v="Female"/>
    <s v="OBC"/>
    <x v="2"/>
    <x v="1"/>
    <n v="6.7"/>
    <n v="1"/>
    <n v="1"/>
    <s v="SolidWorks,CATIA"/>
    <x v="0"/>
    <s v="Core"/>
    <n v="5.5"/>
    <s v="Pune"/>
  </r>
  <r>
    <n v="38"/>
    <s v="Sanjay Reddy"/>
    <s v="Male"/>
    <s v="General"/>
    <x v="0"/>
    <x v="0"/>
    <n v="8.8000000000000007"/>
    <n v="2"/>
    <n v="3"/>
    <s v="Python,SQL,Machine Learning"/>
    <x v="0"/>
    <s v="Product"/>
    <n v="13.5"/>
    <s v="Bangalore"/>
  </r>
  <r>
    <n v="39"/>
    <s v="Latika Singh"/>
    <s v="Female"/>
    <s v="General"/>
    <x v="3"/>
    <x v="1"/>
    <n v="7.1"/>
    <n v="1"/>
    <n v="1"/>
    <s v="AutoCAD,MS Project"/>
    <x v="0"/>
    <s v="Service"/>
    <n v="5.9"/>
    <s v="Hyderabad"/>
  </r>
  <r>
    <n v="40"/>
    <s v="Harish Yadav"/>
    <s v="Male"/>
    <s v="OBC"/>
    <x v="4"/>
    <x v="2"/>
    <n v="6.5"/>
    <n v="0"/>
    <n v="1"/>
    <s v="MATLAB"/>
    <x v="1"/>
    <s v=""/>
    <n v="0"/>
    <s v=""/>
  </r>
  <r>
    <n v="41"/>
    <s v="Nandini Iyer"/>
    <s v="Female"/>
    <s v="General"/>
    <x v="0"/>
    <x v="0"/>
    <n v="8.4"/>
    <n v="2"/>
    <n v="2"/>
    <s v="Python,SQL,Data Analysis"/>
    <x v="0"/>
    <s v="Product"/>
    <n v="11.2"/>
    <s v="Bangalore"/>
  </r>
  <r>
    <n v="42"/>
    <s v="Prakash Verma"/>
    <s v="Male"/>
    <s v="OBC"/>
    <x v="1"/>
    <x v="1"/>
    <n v="7.5"/>
    <n v="1"/>
    <n v="1"/>
    <s v="Java,SQL"/>
    <x v="0"/>
    <s v="Service"/>
    <n v="6.3"/>
    <s v="Hyderabad"/>
  </r>
  <r>
    <n v="43"/>
    <s v="Sunita Nair"/>
    <s v="Female"/>
    <s v="SC"/>
    <x v="2"/>
    <x v="2"/>
    <n v="6"/>
    <n v="0"/>
    <n v="1"/>
    <s v="AutoCAD"/>
    <x v="1"/>
    <s v=""/>
    <n v="0"/>
    <s v=""/>
  </r>
  <r>
    <n v="44"/>
    <s v="Dinesh Reddy"/>
    <s v="Male"/>
    <s v="General"/>
    <x v="0"/>
    <x v="0"/>
    <n v="9.1"/>
    <n v="3"/>
    <n v="3"/>
    <s v="Python,SQL,Machine Learning"/>
    <x v="0"/>
    <s v="Product"/>
    <n v="16"/>
    <s v="Bangalore"/>
  </r>
  <r>
    <n v="45"/>
    <s v="Shalini Joshi"/>
    <s v="Female"/>
    <s v="General"/>
    <x v="3"/>
    <x v="1"/>
    <n v="7"/>
    <n v="1"/>
    <n v="1"/>
    <s v="AutoCAD,STAAD Pro"/>
    <x v="0"/>
    <s v="Core"/>
    <n v="5.0999999999999996"/>
    <s v="Pune"/>
  </r>
  <r>
    <n v="46"/>
    <s v="Ramesh Singh"/>
    <s v="Male"/>
    <s v="OBC"/>
    <x v="4"/>
    <x v="1"/>
    <n v="7.8"/>
    <n v="1"/>
    <n v="2"/>
    <s v="MATLAB,Python"/>
    <x v="0"/>
    <s v="Service"/>
    <n v="7"/>
    <s v="Chennai"/>
  </r>
  <r>
    <n v="47"/>
    <s v="Usha Das"/>
    <s v="Female"/>
    <s v="General"/>
    <x v="0"/>
    <x v="0"/>
    <n v="8.6999999999999993"/>
    <n v="2"/>
    <n v="2"/>
    <s v="Java,Spring,SQL"/>
    <x v="0"/>
    <s v="Product"/>
    <n v="12.2"/>
    <s v="Bangalore"/>
  </r>
  <r>
    <n v="48"/>
    <s v="Mohan Mehta"/>
    <s v="Male"/>
    <s v="General"/>
    <x v="1"/>
    <x v="0"/>
    <n v="8.3000000000000007"/>
    <n v="2"/>
    <n v="2"/>
    <s v="Python,SQL,Embedded Systems"/>
    <x v="0"/>
    <s v="Product"/>
    <n v="11.8"/>
    <s v="Hyderabad"/>
  </r>
  <r>
    <n v="49"/>
    <s v="Preeti Kapoor"/>
    <s v="Female"/>
    <s v="OBC"/>
    <x v="2"/>
    <x v="2"/>
    <n v="5.8"/>
    <n v="0"/>
    <n v="0"/>
    <s v=""/>
    <x v="1"/>
    <s v=""/>
    <n v="0"/>
    <s v=""/>
  </r>
  <r>
    <n v="50"/>
    <s v="Sachin Iyer"/>
    <s v="Male"/>
    <s v="SC"/>
    <x v="0"/>
    <x v="1"/>
    <n v="7.7"/>
    <n v="1"/>
    <n v="2"/>
    <s v="Python,SQL,Web Development"/>
    <x v="0"/>
    <s v="Startup"/>
    <n v="6.7"/>
    <s v="Remote"/>
  </r>
  <r>
    <n v="51"/>
    <s v="Seema Gupta"/>
    <s v="Female"/>
    <s v="General"/>
    <x v="0"/>
    <x v="0"/>
    <n v="9.4"/>
    <n v="3"/>
    <n v="5"/>
    <s v="Python,SQL,Machine Learning,Cloud"/>
    <x v="0"/>
    <s v="Product"/>
    <n v="18.5"/>
    <s v="Bangalore"/>
  </r>
  <r>
    <n v="52"/>
    <s v="Arun Kumar"/>
    <s v="Male"/>
    <s v="OBC"/>
    <x v="1"/>
    <x v="1"/>
    <n v="7.4"/>
    <n v="1"/>
    <n v="1"/>
    <s v="Java,SQL"/>
    <x v="0"/>
    <s v="Service"/>
    <n v="6.1"/>
    <s v="Hyderabad"/>
  </r>
  <r>
    <n v="53"/>
    <s v="Mala Sharma"/>
    <s v="Female"/>
    <s v="General"/>
    <x v="3"/>
    <x v="2"/>
    <n v="6.4"/>
    <n v="0"/>
    <n v="1"/>
    <s v="AutoCAD"/>
    <x v="1"/>
    <s v=""/>
    <n v="0"/>
    <s v=""/>
  </r>
  <r>
    <n v="54"/>
    <s v="Krishna Reddy"/>
    <s v="Male"/>
    <s v="General"/>
    <x v="4"/>
    <x v="0"/>
    <n v="8.1999999999999993"/>
    <n v="2"/>
    <n v="2"/>
    <s v="Python,Embedded Systems,SQL"/>
    <x v="0"/>
    <s v="Core"/>
    <n v="8.1999999999999993"/>
    <s v="Pune"/>
  </r>
  <r>
    <n v="55"/>
    <s v="Latha Bose"/>
    <s v="Female"/>
    <s v="General"/>
    <x v="0"/>
    <x v="1"/>
    <n v="7.1"/>
    <n v="1"/>
    <n v="1"/>
    <s v="Java,Web Development"/>
    <x v="0"/>
    <s v="Service"/>
    <n v="5.6"/>
    <s v="Chennai"/>
  </r>
  <r>
    <n v="56"/>
    <s v="Anil Menon"/>
    <s v="Male"/>
    <s v="SC"/>
    <x v="1"/>
    <x v="1"/>
    <n v="8.1"/>
    <n v="2"/>
    <n v="2"/>
    <s v="Python,SQL,Data Analysis"/>
    <x v="0"/>
    <s v="Product"/>
    <n v="9.6999999999999993"/>
    <s v="Bangalore"/>
  </r>
  <r>
    <n v="57"/>
    <s v="Uma Kumar"/>
    <s v="Female"/>
    <s v="OBC"/>
    <x v="2"/>
    <x v="1"/>
    <n v="6.9"/>
    <n v="1"/>
    <n v="1"/>
    <s v="SolidWorks,CATIA"/>
    <x v="0"/>
    <s v="Core"/>
    <n v="5.7"/>
    <s v="Pune"/>
  </r>
  <r>
    <n v="58"/>
    <s v="Pradeep Reddy"/>
    <s v="Male"/>
    <s v="General"/>
    <x v="0"/>
    <x v="0"/>
    <n v="8.9"/>
    <n v="2"/>
    <n v="3"/>
    <s v="Python,SQL,Machine Learning"/>
    <x v="0"/>
    <s v="Product"/>
    <n v="14.5"/>
    <s v="Bangalore"/>
  </r>
  <r>
    <n v="59"/>
    <s v="Sarojini Singh"/>
    <s v="Female"/>
    <s v="General"/>
    <x v="3"/>
    <x v="1"/>
    <n v="7.2"/>
    <n v="1"/>
    <n v="1"/>
    <s v="AutoCAD,MS Project"/>
    <x v="0"/>
    <s v="Service"/>
    <n v="6.1"/>
    <s v="Hyderabad"/>
  </r>
  <r>
    <n v="60"/>
    <s v="Naresh Yadav"/>
    <s v="Male"/>
    <s v="OBC"/>
    <x v="4"/>
    <x v="2"/>
    <n v="6.6"/>
    <n v="0"/>
    <n v="1"/>
    <s v="MATLAB"/>
    <x v="1"/>
    <s v=""/>
    <n v="0"/>
    <s v="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BE72DA-CF13-4AAD-9D02-959238A5723E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A3:C9" firstHeaderRow="0" firstDataRow="1" firstDataCol="1"/>
  <pivotFields count="14">
    <pivotField showAll="0"/>
    <pivotField showAll="0"/>
    <pivotField showAll="0"/>
    <pivotField showAll="0"/>
    <pivotField axis="axisRow" showAll="0">
      <items count="6">
        <item x="3"/>
        <item x="0"/>
        <item x="1"/>
        <item x="4"/>
        <item x="2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placement_status" fld="10" subtotal="count" baseField="0" baseItem="0"/>
    <dataField name="Count of placement_status2" fld="10" subtotal="count" showDataAs="percentOfCol" baseField="0" baseItem="0" numFmtId="10"/>
  </dataFields>
  <chartFormats count="4"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1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00CC01-FAC1-420A-A1FC-D4C1D9E8D645}" name="PivotTable2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6">
  <location ref="A3:B7" firstHeaderRow="1" firstDataRow="1" firstDataCol="1" rowPageCount="1" colPageCount="1"/>
  <pivotFields count="14"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dataField="1" showAll="0"/>
    <pivotField showAll="0"/>
  </pivotFields>
  <rowFields count="1">
    <field x="5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0" hier="-1"/>
  </pageFields>
  <dataFields count="1">
    <dataField name="Average of ctc_lakhs" fld="12" subtotal="average" baseField="5" baseItem="0"/>
  </dataFields>
  <chartFormats count="2">
    <chartFormat chart="2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1CA19B9-BEED-4400-BBB8-DFF73D4C51FE}" autoFormatId="16" applyNumberFormats="0" applyBorderFormats="0" applyFontFormats="0" applyPatternFormats="0" applyAlignmentFormats="0" applyWidthHeightFormats="0">
  <queryTableRefresh nextId="15">
    <queryTableFields count="14">
      <queryTableField id="1" name="student_id" tableColumnId="1"/>
      <queryTableField id="2" name="name" tableColumnId="2"/>
      <queryTableField id="3" name="gender" tableColumnId="3"/>
      <queryTableField id="4" name="category" tableColumnId="4"/>
      <queryTableField id="5" name="branch" tableColumnId="5"/>
      <queryTableField id="6" name="college_tier" tableColumnId="6"/>
      <queryTableField id="7" name="cgpa" tableColumnId="7"/>
      <queryTableField id="8" name="internships" tableColumnId="8"/>
      <queryTableField id="9" name="certifications" tableColumnId="9"/>
      <queryTableField id="10" name="skills" tableColumnId="10"/>
      <queryTableField id="11" name="placement_status" tableColumnId="11"/>
      <queryTableField id="12" name="company_type" tableColumnId="12"/>
      <queryTableField id="13" name="ctc_lakhs" tableColumnId="13"/>
      <queryTableField id="14" name="location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71AC646-B5AC-4F48-80D4-CAD71C2DB282}" name="placements_data" displayName="placements_data" ref="A1:N61" tableType="queryTable" totalsRowShown="0">
  <autoFilter ref="A1:N61" xr:uid="{671AC646-B5AC-4F48-80D4-CAD71C2DB282}"/>
  <tableColumns count="14">
    <tableColumn id="1" xr3:uid="{3AC8615A-C7FE-4F33-9AE0-5D62AC177817}" uniqueName="1" name="student_id" queryTableFieldId="1"/>
    <tableColumn id="2" xr3:uid="{EC3B1A69-1A57-4CA7-BCB0-C96E6864F113}" uniqueName="2" name="name" queryTableFieldId="2" dataDxfId="8"/>
    <tableColumn id="3" xr3:uid="{B98EDA7A-4F19-4E80-9404-0397BFDB3410}" uniqueName="3" name="gender" queryTableFieldId="3" dataDxfId="7"/>
    <tableColumn id="4" xr3:uid="{7F7A1F22-02E9-4624-86F6-8F5E89890DFF}" uniqueName="4" name="category" queryTableFieldId="4" dataDxfId="6"/>
    <tableColumn id="5" xr3:uid="{E0E60CA9-5067-4ADA-9872-A556EF7C9173}" uniqueName="5" name="branch" queryTableFieldId="5" dataDxfId="5"/>
    <tableColumn id="6" xr3:uid="{DC98CFC2-AE87-4D25-88E4-20C23CAC659E}" uniqueName="6" name="college_tier" queryTableFieldId="6" dataDxfId="4"/>
    <tableColumn id="7" xr3:uid="{8A7E9821-62FC-4256-A044-5A692D203959}" uniqueName="7" name="cgpa" queryTableFieldId="7"/>
    <tableColumn id="8" xr3:uid="{23582317-6FB2-4100-9E09-6A092E13E3CA}" uniqueName="8" name="internships" queryTableFieldId="8"/>
    <tableColumn id="9" xr3:uid="{2C457630-7046-47E9-9CBA-BB761CDFD611}" uniqueName="9" name="certifications" queryTableFieldId="9"/>
    <tableColumn id="10" xr3:uid="{E2FE1EAD-1EBF-4C3B-8E6C-6B0AE79BCCB9}" uniqueName="10" name="skills" queryTableFieldId="10" dataDxfId="3"/>
    <tableColumn id="11" xr3:uid="{FA2EFF75-24E9-4E12-9B10-EC02FD25FACA}" uniqueName="11" name="placement_status" queryTableFieldId="11" dataDxfId="2"/>
    <tableColumn id="12" xr3:uid="{15CCB473-1FF4-4CBC-8A15-FF5DAEC9BA5B}" uniqueName="12" name="company_type" queryTableFieldId="12" dataDxfId="1"/>
    <tableColumn id="13" xr3:uid="{9698996E-D219-41E5-9537-B20D4F99983A}" uniqueName="13" name="ctc_lakhs" queryTableFieldId="13"/>
    <tableColumn id="14" xr3:uid="{4D55C86F-A520-4324-A41B-913243733713}" uniqueName="14" name="location" queryTableFieldId="1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E4343-EF90-45BF-924F-652E74EE725C}">
  <dimension ref="A3:C9"/>
  <sheetViews>
    <sheetView workbookViewId="0">
      <selection activeCell="B3" sqref="B3"/>
    </sheetView>
  </sheetViews>
  <sheetFormatPr defaultRowHeight="14.4" x14ac:dyDescent="0.3"/>
  <cols>
    <col min="1" max="1" width="12.44140625" bestFit="1" customWidth="1"/>
    <col min="2" max="2" width="23.33203125" bestFit="1" customWidth="1"/>
    <col min="3" max="3" width="24.33203125" bestFit="1" customWidth="1"/>
  </cols>
  <sheetData>
    <row r="3" spans="1:3" x14ac:dyDescent="0.3">
      <c r="A3" s="2" t="s">
        <v>118</v>
      </c>
      <c r="B3" t="s">
        <v>120</v>
      </c>
      <c r="C3" t="s">
        <v>121</v>
      </c>
    </row>
    <row r="4" spans="1:3" x14ac:dyDescent="0.3">
      <c r="A4" s="3" t="s">
        <v>40</v>
      </c>
      <c r="B4" s="1">
        <v>9</v>
      </c>
      <c r="C4" s="4">
        <v>0.15</v>
      </c>
    </row>
    <row r="5" spans="1:3" x14ac:dyDescent="0.3">
      <c r="A5" s="3" t="s">
        <v>17</v>
      </c>
      <c r="B5" s="1">
        <v>21</v>
      </c>
      <c r="C5" s="4">
        <v>0.35</v>
      </c>
    </row>
    <row r="6" spans="1:3" x14ac:dyDescent="0.3">
      <c r="A6" s="3" t="s">
        <v>26</v>
      </c>
      <c r="B6" s="1">
        <v>12</v>
      </c>
      <c r="C6" s="4">
        <v>0.2</v>
      </c>
    </row>
    <row r="7" spans="1:3" x14ac:dyDescent="0.3">
      <c r="A7" s="3" t="s">
        <v>45</v>
      </c>
      <c r="B7" s="1">
        <v>9</v>
      </c>
      <c r="C7" s="4">
        <v>0.15</v>
      </c>
    </row>
    <row r="8" spans="1:3" x14ac:dyDescent="0.3">
      <c r="A8" s="3" t="s">
        <v>31</v>
      </c>
      <c r="B8" s="1">
        <v>9</v>
      </c>
      <c r="C8" s="4">
        <v>0.15</v>
      </c>
    </row>
    <row r="9" spans="1:3" x14ac:dyDescent="0.3">
      <c r="A9" s="3" t="s">
        <v>119</v>
      </c>
      <c r="B9" s="1">
        <v>60</v>
      </c>
      <c r="C9" s="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A6F58-A1F2-4D53-BAA9-5E663CFF0905}">
  <dimension ref="G1:L6"/>
  <sheetViews>
    <sheetView tabSelected="1" topLeftCell="B1" workbookViewId="0">
      <selection activeCell="M3" sqref="M3"/>
    </sheetView>
  </sheetViews>
  <sheetFormatPr defaultRowHeight="14.4" x14ac:dyDescent="0.3"/>
  <sheetData>
    <row r="1" spans="7:12" x14ac:dyDescent="0.3">
      <c r="G1" s="5"/>
      <c r="H1" s="5"/>
      <c r="I1" s="5"/>
      <c r="J1" s="5"/>
      <c r="K1" s="5"/>
      <c r="L1" s="5"/>
    </row>
    <row r="2" spans="7:12" x14ac:dyDescent="0.3">
      <c r="G2" s="5"/>
      <c r="H2" s="5"/>
      <c r="I2" s="5"/>
      <c r="J2" s="5"/>
      <c r="K2" s="5"/>
      <c r="L2" s="5"/>
    </row>
    <row r="3" spans="7:12" x14ac:dyDescent="0.3">
      <c r="G3" s="5"/>
      <c r="H3" s="5"/>
      <c r="I3" s="5"/>
      <c r="J3" s="5"/>
      <c r="K3" s="5"/>
      <c r="L3" s="5"/>
    </row>
    <row r="4" spans="7:12" x14ac:dyDescent="0.3">
      <c r="G4" s="5"/>
      <c r="H4" s="5"/>
      <c r="I4" s="5"/>
      <c r="J4" s="5"/>
      <c r="K4" s="5"/>
      <c r="L4" s="5"/>
    </row>
    <row r="5" spans="7:12" x14ac:dyDescent="0.3">
      <c r="G5" s="5"/>
      <c r="H5" s="5"/>
      <c r="I5" s="5"/>
      <c r="J5" s="5"/>
      <c r="K5" s="5"/>
      <c r="L5" s="5"/>
    </row>
    <row r="6" spans="7:12" x14ac:dyDescent="0.3">
      <c r="G6" s="5"/>
      <c r="H6" s="5"/>
      <c r="I6" s="5"/>
      <c r="J6" s="5"/>
      <c r="K6" s="5"/>
      <c r="L6" s="5"/>
    </row>
  </sheetData>
  <mergeCells count="1">
    <mergeCell ref="G1:L6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41425E-1002-43E9-9A6F-8640A0814BF8}">
  <dimension ref="A1:B7"/>
  <sheetViews>
    <sheetView workbookViewId="0">
      <selection activeCell="B3" sqref="B3"/>
    </sheetView>
  </sheetViews>
  <sheetFormatPr defaultRowHeight="14.4" x14ac:dyDescent="0.3"/>
  <cols>
    <col min="1" max="1" width="15.33203125" bestFit="1" customWidth="1"/>
    <col min="2" max="2" width="17.88671875" bestFit="1" customWidth="1"/>
  </cols>
  <sheetData>
    <row r="1" spans="1:2" x14ac:dyDescent="0.3">
      <c r="A1" s="2" t="s">
        <v>10</v>
      </c>
      <c r="B1" t="s">
        <v>122</v>
      </c>
    </row>
    <row r="3" spans="1:2" x14ac:dyDescent="0.3">
      <c r="A3" s="2" t="s">
        <v>118</v>
      </c>
      <c r="B3" t="s">
        <v>123</v>
      </c>
    </row>
    <row r="4" spans="1:2" x14ac:dyDescent="0.3">
      <c r="A4" s="3" t="s">
        <v>18</v>
      </c>
      <c r="B4" s="1">
        <v>12.736363636363636</v>
      </c>
    </row>
    <row r="5" spans="1:2" x14ac:dyDescent="0.3">
      <c r="A5" s="3" t="s">
        <v>32</v>
      </c>
      <c r="B5" s="1">
        <v>6.1666666666666643</v>
      </c>
    </row>
    <row r="6" spans="1:2" x14ac:dyDescent="0.3">
      <c r="A6" s="3" t="s">
        <v>52</v>
      </c>
      <c r="B6" s="1">
        <v>0</v>
      </c>
    </row>
    <row r="7" spans="1:2" x14ac:dyDescent="0.3">
      <c r="A7" s="3" t="s">
        <v>119</v>
      </c>
      <c r="B7" s="1">
        <v>7.4450000000000012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F9B84-2C4A-4847-84A3-77340119D472}">
  <dimension ref="A1:N61"/>
  <sheetViews>
    <sheetView topLeftCell="A2" workbookViewId="0">
      <selection activeCell="F11" sqref="F11"/>
    </sheetView>
  </sheetViews>
  <sheetFormatPr defaultRowHeight="14.4" x14ac:dyDescent="0.3"/>
  <cols>
    <col min="1" max="1" width="12" bestFit="1" customWidth="1"/>
    <col min="2" max="2" width="13.33203125" bestFit="1" customWidth="1"/>
    <col min="4" max="4" width="10.33203125" bestFit="1" customWidth="1"/>
    <col min="5" max="5" width="9" bestFit="1" customWidth="1"/>
    <col min="6" max="6" width="12.88671875" bestFit="1" customWidth="1"/>
    <col min="7" max="7" width="7.21875" bestFit="1" customWidth="1"/>
    <col min="8" max="8" width="12.5546875" bestFit="1" customWidth="1"/>
    <col min="9" max="9" width="14.33203125" bestFit="1" customWidth="1"/>
    <col min="10" max="10" width="30.6640625" bestFit="1" customWidth="1"/>
    <col min="11" max="11" width="18.21875" bestFit="1" customWidth="1"/>
    <col min="12" max="12" width="15.44140625" bestFit="1" customWidth="1"/>
    <col min="13" max="13" width="11.109375" bestFit="1" customWidth="1"/>
    <col min="14" max="14" width="10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>
        <v>1</v>
      </c>
      <c r="B2" s="1" t="s">
        <v>14</v>
      </c>
      <c r="C2" s="1" t="s">
        <v>15</v>
      </c>
      <c r="D2" s="1" t="s">
        <v>16</v>
      </c>
      <c r="E2" s="1" t="s">
        <v>17</v>
      </c>
      <c r="F2" s="1" t="s">
        <v>18</v>
      </c>
      <c r="G2">
        <v>8.6999999999999993</v>
      </c>
      <c r="H2">
        <v>2</v>
      </c>
      <c r="I2">
        <v>3</v>
      </c>
      <c r="J2" s="1" t="s">
        <v>19</v>
      </c>
      <c r="K2" s="1" t="s">
        <v>20</v>
      </c>
      <c r="L2" s="1" t="s">
        <v>21</v>
      </c>
      <c r="M2">
        <v>12.5</v>
      </c>
      <c r="N2" s="1" t="s">
        <v>22</v>
      </c>
    </row>
    <row r="3" spans="1:14" x14ac:dyDescent="0.3">
      <c r="A3">
        <v>2</v>
      </c>
      <c r="B3" s="1" t="s">
        <v>23</v>
      </c>
      <c r="C3" s="1" t="s">
        <v>24</v>
      </c>
      <c r="D3" s="1" t="s">
        <v>25</v>
      </c>
      <c r="E3" s="1" t="s">
        <v>26</v>
      </c>
      <c r="F3" s="1" t="s">
        <v>18</v>
      </c>
      <c r="G3">
        <v>7.9</v>
      </c>
      <c r="H3">
        <v>1</v>
      </c>
      <c r="I3">
        <v>2</v>
      </c>
      <c r="J3" s="1" t="s">
        <v>27</v>
      </c>
      <c r="K3" s="1" t="s">
        <v>20</v>
      </c>
      <c r="L3" s="1" t="s">
        <v>28</v>
      </c>
      <c r="M3">
        <v>6.8</v>
      </c>
      <c r="N3" s="1" t="s">
        <v>29</v>
      </c>
    </row>
    <row r="4" spans="1:14" x14ac:dyDescent="0.3">
      <c r="A4">
        <v>3</v>
      </c>
      <c r="B4" s="1" t="s">
        <v>30</v>
      </c>
      <c r="C4" s="1" t="s">
        <v>15</v>
      </c>
      <c r="D4" s="1" t="s">
        <v>16</v>
      </c>
      <c r="E4" s="1" t="s">
        <v>31</v>
      </c>
      <c r="F4" s="1" t="s">
        <v>32</v>
      </c>
      <c r="G4">
        <v>6.5</v>
      </c>
      <c r="H4">
        <v>0</v>
      </c>
      <c r="I4">
        <v>1</v>
      </c>
      <c r="J4" s="1" t="s">
        <v>33</v>
      </c>
      <c r="K4" s="1" t="s">
        <v>34</v>
      </c>
      <c r="L4" s="1" t="s">
        <v>35</v>
      </c>
      <c r="M4">
        <v>0</v>
      </c>
      <c r="N4" s="1" t="s">
        <v>35</v>
      </c>
    </row>
    <row r="5" spans="1:14" x14ac:dyDescent="0.3">
      <c r="A5">
        <v>4</v>
      </c>
      <c r="B5" s="1" t="s">
        <v>36</v>
      </c>
      <c r="C5" s="1" t="s">
        <v>24</v>
      </c>
      <c r="D5" s="1" t="s">
        <v>37</v>
      </c>
      <c r="E5" s="1" t="s">
        <v>17</v>
      </c>
      <c r="F5" s="1" t="s">
        <v>18</v>
      </c>
      <c r="G5">
        <v>9.1</v>
      </c>
      <c r="H5">
        <v>3</v>
      </c>
      <c r="I5">
        <v>4</v>
      </c>
      <c r="J5" s="1" t="s">
        <v>38</v>
      </c>
      <c r="K5" s="1" t="s">
        <v>20</v>
      </c>
      <c r="L5" s="1" t="s">
        <v>21</v>
      </c>
      <c r="M5">
        <v>15</v>
      </c>
      <c r="N5" s="1" t="s">
        <v>22</v>
      </c>
    </row>
    <row r="6" spans="1:14" x14ac:dyDescent="0.3">
      <c r="A6">
        <v>5</v>
      </c>
      <c r="B6" s="1" t="s">
        <v>39</v>
      </c>
      <c r="C6" s="1" t="s">
        <v>15</v>
      </c>
      <c r="D6" s="1" t="s">
        <v>16</v>
      </c>
      <c r="E6" s="1" t="s">
        <v>40</v>
      </c>
      <c r="F6" s="1" t="s">
        <v>32</v>
      </c>
      <c r="G6">
        <v>7.2</v>
      </c>
      <c r="H6">
        <v>1</v>
      </c>
      <c r="I6">
        <v>1</v>
      </c>
      <c r="J6" s="1" t="s">
        <v>41</v>
      </c>
      <c r="K6" s="1" t="s">
        <v>20</v>
      </c>
      <c r="L6" s="1" t="s">
        <v>42</v>
      </c>
      <c r="M6">
        <v>5.2</v>
      </c>
      <c r="N6" s="1" t="s">
        <v>43</v>
      </c>
    </row>
    <row r="7" spans="1:14" x14ac:dyDescent="0.3">
      <c r="A7">
        <v>6</v>
      </c>
      <c r="B7" s="1" t="s">
        <v>44</v>
      </c>
      <c r="C7" s="1" t="s">
        <v>24</v>
      </c>
      <c r="D7" s="1" t="s">
        <v>25</v>
      </c>
      <c r="E7" s="1" t="s">
        <v>45</v>
      </c>
      <c r="F7" s="1" t="s">
        <v>32</v>
      </c>
      <c r="G7">
        <v>8</v>
      </c>
      <c r="H7">
        <v>2</v>
      </c>
      <c r="I7">
        <v>2</v>
      </c>
      <c r="J7" s="1" t="s">
        <v>46</v>
      </c>
      <c r="K7" s="1" t="s">
        <v>20</v>
      </c>
      <c r="L7" s="1" t="s">
        <v>28</v>
      </c>
      <c r="M7">
        <v>7</v>
      </c>
      <c r="N7" s="1" t="s">
        <v>47</v>
      </c>
    </row>
    <row r="8" spans="1:14" x14ac:dyDescent="0.3">
      <c r="A8">
        <v>7</v>
      </c>
      <c r="B8" s="1" t="s">
        <v>48</v>
      </c>
      <c r="C8" s="1" t="s">
        <v>15</v>
      </c>
      <c r="D8" s="1" t="s">
        <v>16</v>
      </c>
      <c r="E8" s="1" t="s">
        <v>17</v>
      </c>
      <c r="F8" s="1" t="s">
        <v>18</v>
      </c>
      <c r="G8">
        <v>8.3000000000000007</v>
      </c>
      <c r="H8">
        <v>1</v>
      </c>
      <c r="I8">
        <v>2</v>
      </c>
      <c r="J8" s="1" t="s">
        <v>49</v>
      </c>
      <c r="K8" s="1" t="s">
        <v>20</v>
      </c>
      <c r="L8" s="1" t="s">
        <v>21</v>
      </c>
      <c r="M8">
        <v>10.5</v>
      </c>
      <c r="N8" s="1" t="s">
        <v>22</v>
      </c>
    </row>
    <row r="9" spans="1:14" x14ac:dyDescent="0.3">
      <c r="A9">
        <v>8</v>
      </c>
      <c r="B9" s="1" t="s">
        <v>50</v>
      </c>
      <c r="C9" s="1" t="s">
        <v>24</v>
      </c>
      <c r="D9" s="1" t="s">
        <v>16</v>
      </c>
      <c r="E9" s="1" t="s">
        <v>26</v>
      </c>
      <c r="F9" s="1" t="s">
        <v>18</v>
      </c>
      <c r="G9">
        <v>8.8000000000000007</v>
      </c>
      <c r="H9">
        <v>2</v>
      </c>
      <c r="I9">
        <v>3</v>
      </c>
      <c r="J9" s="1" t="s">
        <v>19</v>
      </c>
      <c r="K9" s="1" t="s">
        <v>20</v>
      </c>
      <c r="L9" s="1" t="s">
        <v>21</v>
      </c>
      <c r="M9">
        <v>13</v>
      </c>
      <c r="N9" s="1" t="s">
        <v>29</v>
      </c>
    </row>
    <row r="10" spans="1:14" x14ac:dyDescent="0.3">
      <c r="A10">
        <v>9</v>
      </c>
      <c r="B10" s="1" t="s">
        <v>51</v>
      </c>
      <c r="C10" s="1" t="s">
        <v>15</v>
      </c>
      <c r="D10" s="1" t="s">
        <v>25</v>
      </c>
      <c r="E10" s="1" t="s">
        <v>31</v>
      </c>
      <c r="F10" s="1" t="s">
        <v>52</v>
      </c>
      <c r="G10">
        <v>6</v>
      </c>
      <c r="H10">
        <v>0</v>
      </c>
      <c r="I10">
        <v>0</v>
      </c>
      <c r="J10" s="1" t="s">
        <v>35</v>
      </c>
      <c r="K10" s="1" t="s">
        <v>34</v>
      </c>
      <c r="L10" s="1" t="s">
        <v>35</v>
      </c>
      <c r="M10">
        <v>0</v>
      </c>
      <c r="N10" s="1" t="s">
        <v>35</v>
      </c>
    </row>
    <row r="11" spans="1:14" x14ac:dyDescent="0.3">
      <c r="A11">
        <v>10</v>
      </c>
      <c r="B11" s="1" t="s">
        <v>53</v>
      </c>
      <c r="C11" s="1" t="s">
        <v>24</v>
      </c>
      <c r="D11" s="1" t="s">
        <v>37</v>
      </c>
      <c r="E11" s="1" t="s">
        <v>17</v>
      </c>
      <c r="F11" s="1" t="s">
        <v>32</v>
      </c>
      <c r="G11">
        <v>7.5</v>
      </c>
      <c r="H11">
        <v>1</v>
      </c>
      <c r="I11">
        <v>2</v>
      </c>
      <c r="J11" s="1" t="s">
        <v>54</v>
      </c>
      <c r="K11" s="1" t="s">
        <v>20</v>
      </c>
      <c r="L11" s="1" t="s">
        <v>55</v>
      </c>
      <c r="M11">
        <v>6</v>
      </c>
      <c r="N11" s="1" t="s">
        <v>56</v>
      </c>
    </row>
    <row r="12" spans="1:14" x14ac:dyDescent="0.3">
      <c r="A12">
        <v>11</v>
      </c>
      <c r="B12" s="1" t="s">
        <v>57</v>
      </c>
      <c r="C12" s="1" t="s">
        <v>15</v>
      </c>
      <c r="D12" s="1" t="s">
        <v>16</v>
      </c>
      <c r="E12" s="1" t="s">
        <v>17</v>
      </c>
      <c r="F12" s="1" t="s">
        <v>18</v>
      </c>
      <c r="G12">
        <v>9.3000000000000007</v>
      </c>
      <c r="H12">
        <v>3</v>
      </c>
      <c r="I12">
        <v>5</v>
      </c>
      <c r="J12" s="1" t="s">
        <v>58</v>
      </c>
      <c r="K12" s="1" t="s">
        <v>20</v>
      </c>
      <c r="L12" s="1" t="s">
        <v>21</v>
      </c>
      <c r="M12">
        <v>18</v>
      </c>
      <c r="N12" s="1" t="s">
        <v>22</v>
      </c>
    </row>
    <row r="13" spans="1:14" x14ac:dyDescent="0.3">
      <c r="A13">
        <v>12</v>
      </c>
      <c r="B13" s="1" t="s">
        <v>59</v>
      </c>
      <c r="C13" s="1" t="s">
        <v>24</v>
      </c>
      <c r="D13" s="1" t="s">
        <v>16</v>
      </c>
      <c r="E13" s="1" t="s">
        <v>26</v>
      </c>
      <c r="F13" s="1" t="s">
        <v>32</v>
      </c>
      <c r="G13">
        <v>7.8</v>
      </c>
      <c r="H13">
        <v>1</v>
      </c>
      <c r="I13">
        <v>1</v>
      </c>
      <c r="J13" s="1" t="s">
        <v>60</v>
      </c>
      <c r="K13" s="1" t="s">
        <v>20</v>
      </c>
      <c r="L13" s="1" t="s">
        <v>28</v>
      </c>
      <c r="M13">
        <v>6.5</v>
      </c>
      <c r="N13" s="1" t="s">
        <v>29</v>
      </c>
    </row>
    <row r="14" spans="1:14" x14ac:dyDescent="0.3">
      <c r="A14">
        <v>13</v>
      </c>
      <c r="B14" s="1" t="s">
        <v>61</v>
      </c>
      <c r="C14" s="1" t="s">
        <v>15</v>
      </c>
      <c r="D14" s="1" t="s">
        <v>25</v>
      </c>
      <c r="E14" s="1" t="s">
        <v>40</v>
      </c>
      <c r="F14" s="1" t="s">
        <v>52</v>
      </c>
      <c r="G14">
        <v>6.2</v>
      </c>
      <c r="H14">
        <v>0</v>
      </c>
      <c r="I14">
        <v>1</v>
      </c>
      <c r="J14" s="1" t="s">
        <v>62</v>
      </c>
      <c r="K14" s="1" t="s">
        <v>34</v>
      </c>
      <c r="L14" s="1" t="s">
        <v>35</v>
      </c>
      <c r="M14">
        <v>0</v>
      </c>
      <c r="N14" s="1" t="s">
        <v>35</v>
      </c>
    </row>
    <row r="15" spans="1:14" x14ac:dyDescent="0.3">
      <c r="A15">
        <v>14</v>
      </c>
      <c r="B15" s="1" t="s">
        <v>63</v>
      </c>
      <c r="C15" s="1" t="s">
        <v>24</v>
      </c>
      <c r="D15" s="1" t="s">
        <v>16</v>
      </c>
      <c r="E15" s="1" t="s">
        <v>45</v>
      </c>
      <c r="F15" s="1" t="s">
        <v>18</v>
      </c>
      <c r="G15">
        <v>8.4</v>
      </c>
      <c r="H15">
        <v>2</v>
      </c>
      <c r="I15">
        <v>2</v>
      </c>
      <c r="J15" s="1" t="s">
        <v>64</v>
      </c>
      <c r="K15" s="1" t="s">
        <v>20</v>
      </c>
      <c r="L15" s="1" t="s">
        <v>42</v>
      </c>
      <c r="M15">
        <v>8.5</v>
      </c>
      <c r="N15" s="1" t="s">
        <v>43</v>
      </c>
    </row>
    <row r="16" spans="1:14" x14ac:dyDescent="0.3">
      <c r="A16">
        <v>15</v>
      </c>
      <c r="B16" s="1" t="s">
        <v>65</v>
      </c>
      <c r="C16" s="1" t="s">
        <v>15</v>
      </c>
      <c r="D16" s="1" t="s">
        <v>16</v>
      </c>
      <c r="E16" s="1" t="s">
        <v>17</v>
      </c>
      <c r="F16" s="1" t="s">
        <v>32</v>
      </c>
      <c r="G16">
        <v>7</v>
      </c>
      <c r="H16">
        <v>1</v>
      </c>
      <c r="I16">
        <v>1</v>
      </c>
      <c r="J16" s="1" t="s">
        <v>66</v>
      </c>
      <c r="K16" s="1" t="s">
        <v>20</v>
      </c>
      <c r="L16" s="1" t="s">
        <v>28</v>
      </c>
      <c r="M16">
        <v>5.5</v>
      </c>
      <c r="N16" s="1" t="s">
        <v>47</v>
      </c>
    </row>
    <row r="17" spans="1:14" x14ac:dyDescent="0.3">
      <c r="A17">
        <v>16</v>
      </c>
      <c r="B17" s="1" t="s">
        <v>67</v>
      </c>
      <c r="C17" s="1" t="s">
        <v>24</v>
      </c>
      <c r="D17" s="1" t="s">
        <v>37</v>
      </c>
      <c r="E17" s="1" t="s">
        <v>26</v>
      </c>
      <c r="F17" s="1" t="s">
        <v>32</v>
      </c>
      <c r="G17">
        <v>8.1</v>
      </c>
      <c r="H17">
        <v>2</v>
      </c>
      <c r="I17">
        <v>2</v>
      </c>
      <c r="J17" s="1" t="s">
        <v>68</v>
      </c>
      <c r="K17" s="1" t="s">
        <v>20</v>
      </c>
      <c r="L17" s="1" t="s">
        <v>21</v>
      </c>
      <c r="M17">
        <v>9</v>
      </c>
      <c r="N17" s="1" t="s">
        <v>22</v>
      </c>
    </row>
    <row r="18" spans="1:14" x14ac:dyDescent="0.3">
      <c r="A18">
        <v>17</v>
      </c>
      <c r="B18" s="1" t="s">
        <v>69</v>
      </c>
      <c r="C18" s="1" t="s">
        <v>15</v>
      </c>
      <c r="D18" s="1" t="s">
        <v>25</v>
      </c>
      <c r="E18" s="1" t="s">
        <v>31</v>
      </c>
      <c r="F18" s="1" t="s">
        <v>32</v>
      </c>
      <c r="G18">
        <v>6.8</v>
      </c>
      <c r="H18">
        <v>1</v>
      </c>
      <c r="I18">
        <v>1</v>
      </c>
      <c r="J18" s="1" t="s">
        <v>70</v>
      </c>
      <c r="K18" s="1" t="s">
        <v>20</v>
      </c>
      <c r="L18" s="1" t="s">
        <v>42</v>
      </c>
      <c r="M18">
        <v>5.8</v>
      </c>
      <c r="N18" s="1" t="s">
        <v>43</v>
      </c>
    </row>
    <row r="19" spans="1:14" x14ac:dyDescent="0.3">
      <c r="A19">
        <v>18</v>
      </c>
      <c r="B19" s="1" t="s">
        <v>71</v>
      </c>
      <c r="C19" s="1" t="s">
        <v>24</v>
      </c>
      <c r="D19" s="1" t="s">
        <v>16</v>
      </c>
      <c r="E19" s="1" t="s">
        <v>17</v>
      </c>
      <c r="F19" s="1" t="s">
        <v>18</v>
      </c>
      <c r="G19">
        <v>8.9</v>
      </c>
      <c r="H19">
        <v>2</v>
      </c>
      <c r="I19">
        <v>3</v>
      </c>
      <c r="J19" s="1" t="s">
        <v>19</v>
      </c>
      <c r="K19" s="1" t="s">
        <v>20</v>
      </c>
      <c r="L19" s="1" t="s">
        <v>21</v>
      </c>
      <c r="M19">
        <v>14</v>
      </c>
      <c r="N19" s="1" t="s">
        <v>22</v>
      </c>
    </row>
    <row r="20" spans="1:14" x14ac:dyDescent="0.3">
      <c r="A20">
        <v>19</v>
      </c>
      <c r="B20" s="1" t="s">
        <v>72</v>
      </c>
      <c r="C20" s="1" t="s">
        <v>15</v>
      </c>
      <c r="D20" s="1" t="s">
        <v>16</v>
      </c>
      <c r="E20" s="1" t="s">
        <v>40</v>
      </c>
      <c r="F20" s="1" t="s">
        <v>32</v>
      </c>
      <c r="G20">
        <v>7.3</v>
      </c>
      <c r="H20">
        <v>1</v>
      </c>
      <c r="I20">
        <v>1</v>
      </c>
      <c r="J20" s="1" t="s">
        <v>73</v>
      </c>
      <c r="K20" s="1" t="s">
        <v>20</v>
      </c>
      <c r="L20" s="1" t="s">
        <v>28</v>
      </c>
      <c r="M20">
        <v>6</v>
      </c>
      <c r="N20" s="1" t="s">
        <v>29</v>
      </c>
    </row>
    <row r="21" spans="1:14" x14ac:dyDescent="0.3">
      <c r="A21">
        <v>20</v>
      </c>
      <c r="B21" s="1" t="s">
        <v>74</v>
      </c>
      <c r="C21" s="1" t="s">
        <v>15</v>
      </c>
      <c r="D21" s="1" t="s">
        <v>25</v>
      </c>
      <c r="E21" s="1" t="s">
        <v>45</v>
      </c>
      <c r="F21" s="1" t="s">
        <v>52</v>
      </c>
      <c r="G21">
        <v>6.4</v>
      </c>
      <c r="H21">
        <v>0</v>
      </c>
      <c r="I21">
        <v>1</v>
      </c>
      <c r="J21" s="1" t="s">
        <v>75</v>
      </c>
      <c r="K21" s="1" t="s">
        <v>34</v>
      </c>
      <c r="L21" s="1" t="s">
        <v>35</v>
      </c>
      <c r="M21">
        <v>0</v>
      </c>
      <c r="N21" s="1" t="s">
        <v>35</v>
      </c>
    </row>
    <row r="22" spans="1:14" x14ac:dyDescent="0.3">
      <c r="A22">
        <v>21</v>
      </c>
      <c r="B22" s="1" t="s">
        <v>76</v>
      </c>
      <c r="C22" s="1" t="s">
        <v>24</v>
      </c>
      <c r="D22" s="1" t="s">
        <v>16</v>
      </c>
      <c r="E22" s="1" t="s">
        <v>17</v>
      </c>
      <c r="F22" s="1" t="s">
        <v>18</v>
      </c>
      <c r="G22">
        <v>8.5</v>
      </c>
      <c r="H22">
        <v>2</v>
      </c>
      <c r="I22">
        <v>2</v>
      </c>
      <c r="J22" s="1" t="s">
        <v>68</v>
      </c>
      <c r="K22" s="1" t="s">
        <v>20</v>
      </c>
      <c r="L22" s="1" t="s">
        <v>21</v>
      </c>
      <c r="M22">
        <v>11</v>
      </c>
      <c r="N22" s="1" t="s">
        <v>22</v>
      </c>
    </row>
    <row r="23" spans="1:14" x14ac:dyDescent="0.3">
      <c r="A23">
        <v>22</v>
      </c>
      <c r="B23" s="1" t="s">
        <v>77</v>
      </c>
      <c r="C23" s="1" t="s">
        <v>15</v>
      </c>
      <c r="D23" s="1" t="s">
        <v>25</v>
      </c>
      <c r="E23" s="1" t="s">
        <v>26</v>
      </c>
      <c r="F23" s="1" t="s">
        <v>32</v>
      </c>
      <c r="G23">
        <v>7.4</v>
      </c>
      <c r="H23">
        <v>1</v>
      </c>
      <c r="I23">
        <v>1</v>
      </c>
      <c r="J23" s="1" t="s">
        <v>60</v>
      </c>
      <c r="K23" s="1" t="s">
        <v>20</v>
      </c>
      <c r="L23" s="1" t="s">
        <v>28</v>
      </c>
      <c r="M23">
        <v>6.2</v>
      </c>
      <c r="N23" s="1" t="s">
        <v>29</v>
      </c>
    </row>
    <row r="24" spans="1:14" x14ac:dyDescent="0.3">
      <c r="A24">
        <v>23</v>
      </c>
      <c r="B24" s="1" t="s">
        <v>78</v>
      </c>
      <c r="C24" s="1" t="s">
        <v>24</v>
      </c>
      <c r="D24" s="1" t="s">
        <v>37</v>
      </c>
      <c r="E24" s="1" t="s">
        <v>31</v>
      </c>
      <c r="F24" s="1" t="s">
        <v>52</v>
      </c>
      <c r="G24">
        <v>6.1</v>
      </c>
      <c r="H24">
        <v>0</v>
      </c>
      <c r="I24">
        <v>1</v>
      </c>
      <c r="J24" s="1" t="s">
        <v>62</v>
      </c>
      <c r="K24" s="1" t="s">
        <v>34</v>
      </c>
      <c r="L24" s="1" t="s">
        <v>35</v>
      </c>
      <c r="M24">
        <v>0</v>
      </c>
      <c r="N24" s="1" t="s">
        <v>35</v>
      </c>
    </row>
    <row r="25" spans="1:14" x14ac:dyDescent="0.3">
      <c r="A25">
        <v>24</v>
      </c>
      <c r="B25" s="1" t="s">
        <v>79</v>
      </c>
      <c r="C25" s="1" t="s">
        <v>15</v>
      </c>
      <c r="D25" s="1" t="s">
        <v>16</v>
      </c>
      <c r="E25" s="1" t="s">
        <v>17</v>
      </c>
      <c r="F25" s="1" t="s">
        <v>18</v>
      </c>
      <c r="G25">
        <v>9</v>
      </c>
      <c r="H25">
        <v>3</v>
      </c>
      <c r="I25">
        <v>3</v>
      </c>
      <c r="J25" s="1" t="s">
        <v>19</v>
      </c>
      <c r="K25" s="1" t="s">
        <v>20</v>
      </c>
      <c r="L25" s="1" t="s">
        <v>21</v>
      </c>
      <c r="M25">
        <v>16.5</v>
      </c>
      <c r="N25" s="1" t="s">
        <v>22</v>
      </c>
    </row>
    <row r="26" spans="1:14" x14ac:dyDescent="0.3">
      <c r="A26">
        <v>25</v>
      </c>
      <c r="B26" s="1" t="s">
        <v>80</v>
      </c>
      <c r="C26" s="1" t="s">
        <v>24</v>
      </c>
      <c r="D26" s="1" t="s">
        <v>16</v>
      </c>
      <c r="E26" s="1" t="s">
        <v>40</v>
      </c>
      <c r="F26" s="1" t="s">
        <v>32</v>
      </c>
      <c r="G26">
        <v>7</v>
      </c>
      <c r="H26">
        <v>1</v>
      </c>
      <c r="I26">
        <v>1</v>
      </c>
      <c r="J26" s="1" t="s">
        <v>41</v>
      </c>
      <c r="K26" s="1" t="s">
        <v>20</v>
      </c>
      <c r="L26" s="1" t="s">
        <v>42</v>
      </c>
      <c r="M26">
        <v>5</v>
      </c>
      <c r="N26" s="1" t="s">
        <v>43</v>
      </c>
    </row>
    <row r="27" spans="1:14" x14ac:dyDescent="0.3">
      <c r="A27">
        <v>26</v>
      </c>
      <c r="B27" s="1" t="s">
        <v>81</v>
      </c>
      <c r="C27" s="1" t="s">
        <v>15</v>
      </c>
      <c r="D27" s="1" t="s">
        <v>25</v>
      </c>
      <c r="E27" s="1" t="s">
        <v>45</v>
      </c>
      <c r="F27" s="1" t="s">
        <v>32</v>
      </c>
      <c r="G27">
        <v>7.7</v>
      </c>
      <c r="H27">
        <v>1</v>
      </c>
      <c r="I27">
        <v>2</v>
      </c>
      <c r="J27" s="1" t="s">
        <v>82</v>
      </c>
      <c r="K27" s="1" t="s">
        <v>20</v>
      </c>
      <c r="L27" s="1" t="s">
        <v>28</v>
      </c>
      <c r="M27">
        <v>6.8</v>
      </c>
      <c r="N27" s="1" t="s">
        <v>47</v>
      </c>
    </row>
    <row r="28" spans="1:14" x14ac:dyDescent="0.3">
      <c r="A28">
        <v>27</v>
      </c>
      <c r="B28" s="1" t="s">
        <v>83</v>
      </c>
      <c r="C28" s="1" t="s">
        <v>24</v>
      </c>
      <c r="D28" s="1" t="s">
        <v>16</v>
      </c>
      <c r="E28" s="1" t="s">
        <v>17</v>
      </c>
      <c r="F28" s="1" t="s">
        <v>18</v>
      </c>
      <c r="G28">
        <v>8.6</v>
      </c>
      <c r="H28">
        <v>2</v>
      </c>
      <c r="I28">
        <v>2</v>
      </c>
      <c r="J28" s="1" t="s">
        <v>49</v>
      </c>
      <c r="K28" s="1" t="s">
        <v>20</v>
      </c>
      <c r="L28" s="1" t="s">
        <v>21</v>
      </c>
      <c r="M28">
        <v>12</v>
      </c>
      <c r="N28" s="1" t="s">
        <v>22</v>
      </c>
    </row>
    <row r="29" spans="1:14" x14ac:dyDescent="0.3">
      <c r="A29">
        <v>28</v>
      </c>
      <c r="B29" s="1" t="s">
        <v>84</v>
      </c>
      <c r="C29" s="1" t="s">
        <v>15</v>
      </c>
      <c r="D29" s="1" t="s">
        <v>16</v>
      </c>
      <c r="E29" s="1" t="s">
        <v>26</v>
      </c>
      <c r="F29" s="1" t="s">
        <v>18</v>
      </c>
      <c r="G29">
        <v>8.1999999999999993</v>
      </c>
      <c r="H29">
        <v>2</v>
      </c>
      <c r="I29">
        <v>2</v>
      </c>
      <c r="J29" s="1" t="s">
        <v>85</v>
      </c>
      <c r="K29" s="1" t="s">
        <v>20</v>
      </c>
      <c r="L29" s="1" t="s">
        <v>21</v>
      </c>
      <c r="M29">
        <v>11.5</v>
      </c>
      <c r="N29" s="1" t="s">
        <v>29</v>
      </c>
    </row>
    <row r="30" spans="1:14" x14ac:dyDescent="0.3">
      <c r="A30">
        <v>29</v>
      </c>
      <c r="B30" s="1" t="s">
        <v>86</v>
      </c>
      <c r="C30" s="1" t="s">
        <v>24</v>
      </c>
      <c r="D30" s="1" t="s">
        <v>25</v>
      </c>
      <c r="E30" s="1" t="s">
        <v>31</v>
      </c>
      <c r="F30" s="1" t="s">
        <v>52</v>
      </c>
      <c r="G30">
        <v>5.9</v>
      </c>
      <c r="H30">
        <v>0</v>
      </c>
      <c r="I30">
        <v>0</v>
      </c>
      <c r="J30" s="1" t="s">
        <v>35</v>
      </c>
      <c r="K30" s="1" t="s">
        <v>34</v>
      </c>
      <c r="L30" s="1" t="s">
        <v>35</v>
      </c>
      <c r="M30">
        <v>0</v>
      </c>
      <c r="N30" s="1" t="s">
        <v>35</v>
      </c>
    </row>
    <row r="31" spans="1:14" x14ac:dyDescent="0.3">
      <c r="A31">
        <v>30</v>
      </c>
      <c r="B31" s="1" t="s">
        <v>87</v>
      </c>
      <c r="C31" s="1" t="s">
        <v>15</v>
      </c>
      <c r="D31" s="1" t="s">
        <v>37</v>
      </c>
      <c r="E31" s="1" t="s">
        <v>17</v>
      </c>
      <c r="F31" s="1" t="s">
        <v>32</v>
      </c>
      <c r="G31">
        <v>7.6</v>
      </c>
      <c r="H31">
        <v>1</v>
      </c>
      <c r="I31">
        <v>2</v>
      </c>
      <c r="J31" s="1" t="s">
        <v>54</v>
      </c>
      <c r="K31" s="1" t="s">
        <v>20</v>
      </c>
      <c r="L31" s="1" t="s">
        <v>55</v>
      </c>
      <c r="M31">
        <v>6.5</v>
      </c>
      <c r="N31" s="1" t="s">
        <v>56</v>
      </c>
    </row>
    <row r="32" spans="1:14" x14ac:dyDescent="0.3">
      <c r="A32">
        <v>31</v>
      </c>
      <c r="B32" s="1" t="s">
        <v>88</v>
      </c>
      <c r="C32" s="1" t="s">
        <v>24</v>
      </c>
      <c r="D32" s="1" t="s">
        <v>16</v>
      </c>
      <c r="E32" s="1" t="s">
        <v>17</v>
      </c>
      <c r="F32" s="1" t="s">
        <v>18</v>
      </c>
      <c r="G32">
        <v>9.1999999999999993</v>
      </c>
      <c r="H32">
        <v>3</v>
      </c>
      <c r="I32">
        <v>4</v>
      </c>
      <c r="J32" s="1" t="s">
        <v>58</v>
      </c>
      <c r="K32" s="1" t="s">
        <v>20</v>
      </c>
      <c r="L32" s="1" t="s">
        <v>21</v>
      </c>
      <c r="M32">
        <v>17</v>
      </c>
      <c r="N32" s="1" t="s">
        <v>22</v>
      </c>
    </row>
    <row r="33" spans="1:14" x14ac:dyDescent="0.3">
      <c r="A33">
        <v>32</v>
      </c>
      <c r="B33" s="1" t="s">
        <v>89</v>
      </c>
      <c r="C33" s="1" t="s">
        <v>15</v>
      </c>
      <c r="D33" s="1" t="s">
        <v>25</v>
      </c>
      <c r="E33" s="1" t="s">
        <v>26</v>
      </c>
      <c r="F33" s="1" t="s">
        <v>32</v>
      </c>
      <c r="G33">
        <v>7.3</v>
      </c>
      <c r="H33">
        <v>1</v>
      </c>
      <c r="I33">
        <v>1</v>
      </c>
      <c r="J33" s="1" t="s">
        <v>60</v>
      </c>
      <c r="K33" s="1" t="s">
        <v>20</v>
      </c>
      <c r="L33" s="1" t="s">
        <v>28</v>
      </c>
      <c r="M33">
        <v>6</v>
      </c>
      <c r="N33" s="1" t="s">
        <v>29</v>
      </c>
    </row>
    <row r="34" spans="1:14" x14ac:dyDescent="0.3">
      <c r="A34">
        <v>33</v>
      </c>
      <c r="B34" s="1" t="s">
        <v>90</v>
      </c>
      <c r="C34" s="1" t="s">
        <v>24</v>
      </c>
      <c r="D34" s="1" t="s">
        <v>16</v>
      </c>
      <c r="E34" s="1" t="s">
        <v>40</v>
      </c>
      <c r="F34" s="1" t="s">
        <v>52</v>
      </c>
      <c r="G34">
        <v>6.3</v>
      </c>
      <c r="H34">
        <v>0</v>
      </c>
      <c r="I34">
        <v>1</v>
      </c>
      <c r="J34" s="1" t="s">
        <v>62</v>
      </c>
      <c r="K34" s="1" t="s">
        <v>34</v>
      </c>
      <c r="L34" s="1" t="s">
        <v>35</v>
      </c>
      <c r="M34">
        <v>0</v>
      </c>
      <c r="N34" s="1" t="s">
        <v>35</v>
      </c>
    </row>
    <row r="35" spans="1:14" x14ac:dyDescent="0.3">
      <c r="A35">
        <v>34</v>
      </c>
      <c r="B35" s="1" t="s">
        <v>91</v>
      </c>
      <c r="C35" s="1" t="s">
        <v>15</v>
      </c>
      <c r="D35" s="1" t="s">
        <v>16</v>
      </c>
      <c r="E35" s="1" t="s">
        <v>45</v>
      </c>
      <c r="F35" s="1" t="s">
        <v>18</v>
      </c>
      <c r="G35">
        <v>8.1</v>
      </c>
      <c r="H35">
        <v>2</v>
      </c>
      <c r="I35">
        <v>2</v>
      </c>
      <c r="J35" s="1" t="s">
        <v>64</v>
      </c>
      <c r="K35" s="1" t="s">
        <v>20</v>
      </c>
      <c r="L35" s="1" t="s">
        <v>42</v>
      </c>
      <c r="M35">
        <v>8</v>
      </c>
      <c r="N35" s="1" t="s">
        <v>43</v>
      </c>
    </row>
    <row r="36" spans="1:14" x14ac:dyDescent="0.3">
      <c r="A36">
        <v>35</v>
      </c>
      <c r="B36" s="1" t="s">
        <v>92</v>
      </c>
      <c r="C36" s="1" t="s">
        <v>24</v>
      </c>
      <c r="D36" s="1" t="s">
        <v>16</v>
      </c>
      <c r="E36" s="1" t="s">
        <v>17</v>
      </c>
      <c r="F36" s="1" t="s">
        <v>32</v>
      </c>
      <c r="G36">
        <v>7.2</v>
      </c>
      <c r="H36">
        <v>1</v>
      </c>
      <c r="I36">
        <v>1</v>
      </c>
      <c r="J36" s="1" t="s">
        <v>66</v>
      </c>
      <c r="K36" s="1" t="s">
        <v>20</v>
      </c>
      <c r="L36" s="1" t="s">
        <v>28</v>
      </c>
      <c r="M36">
        <v>5.8</v>
      </c>
      <c r="N36" s="1" t="s">
        <v>47</v>
      </c>
    </row>
    <row r="37" spans="1:14" x14ac:dyDescent="0.3">
      <c r="A37">
        <v>36</v>
      </c>
      <c r="B37" s="1" t="s">
        <v>93</v>
      </c>
      <c r="C37" s="1" t="s">
        <v>15</v>
      </c>
      <c r="D37" s="1" t="s">
        <v>37</v>
      </c>
      <c r="E37" s="1" t="s">
        <v>26</v>
      </c>
      <c r="F37" s="1" t="s">
        <v>32</v>
      </c>
      <c r="G37">
        <v>8</v>
      </c>
      <c r="H37">
        <v>2</v>
      </c>
      <c r="I37">
        <v>2</v>
      </c>
      <c r="J37" s="1" t="s">
        <v>68</v>
      </c>
      <c r="K37" s="1" t="s">
        <v>20</v>
      </c>
      <c r="L37" s="1" t="s">
        <v>21</v>
      </c>
      <c r="M37">
        <v>9.5</v>
      </c>
      <c r="N37" s="1" t="s">
        <v>22</v>
      </c>
    </row>
    <row r="38" spans="1:14" x14ac:dyDescent="0.3">
      <c r="A38">
        <v>37</v>
      </c>
      <c r="B38" s="1" t="s">
        <v>94</v>
      </c>
      <c r="C38" s="1" t="s">
        <v>24</v>
      </c>
      <c r="D38" s="1" t="s">
        <v>25</v>
      </c>
      <c r="E38" s="1" t="s">
        <v>31</v>
      </c>
      <c r="F38" s="1" t="s">
        <v>32</v>
      </c>
      <c r="G38">
        <v>6.7</v>
      </c>
      <c r="H38">
        <v>1</v>
      </c>
      <c r="I38">
        <v>1</v>
      </c>
      <c r="J38" s="1" t="s">
        <v>70</v>
      </c>
      <c r="K38" s="1" t="s">
        <v>20</v>
      </c>
      <c r="L38" s="1" t="s">
        <v>42</v>
      </c>
      <c r="M38">
        <v>5.5</v>
      </c>
      <c r="N38" s="1" t="s">
        <v>43</v>
      </c>
    </row>
    <row r="39" spans="1:14" x14ac:dyDescent="0.3">
      <c r="A39">
        <v>38</v>
      </c>
      <c r="B39" s="1" t="s">
        <v>95</v>
      </c>
      <c r="C39" s="1" t="s">
        <v>15</v>
      </c>
      <c r="D39" s="1" t="s">
        <v>16</v>
      </c>
      <c r="E39" s="1" t="s">
        <v>17</v>
      </c>
      <c r="F39" s="1" t="s">
        <v>18</v>
      </c>
      <c r="G39">
        <v>8.8000000000000007</v>
      </c>
      <c r="H39">
        <v>2</v>
      </c>
      <c r="I39">
        <v>3</v>
      </c>
      <c r="J39" s="1" t="s">
        <v>19</v>
      </c>
      <c r="K39" s="1" t="s">
        <v>20</v>
      </c>
      <c r="L39" s="1" t="s">
        <v>21</v>
      </c>
      <c r="M39">
        <v>13.5</v>
      </c>
      <c r="N39" s="1" t="s">
        <v>22</v>
      </c>
    </row>
    <row r="40" spans="1:14" x14ac:dyDescent="0.3">
      <c r="A40">
        <v>39</v>
      </c>
      <c r="B40" s="1" t="s">
        <v>96</v>
      </c>
      <c r="C40" s="1" t="s">
        <v>24</v>
      </c>
      <c r="D40" s="1" t="s">
        <v>16</v>
      </c>
      <c r="E40" s="1" t="s">
        <v>40</v>
      </c>
      <c r="F40" s="1" t="s">
        <v>32</v>
      </c>
      <c r="G40">
        <v>7.1</v>
      </c>
      <c r="H40">
        <v>1</v>
      </c>
      <c r="I40">
        <v>1</v>
      </c>
      <c r="J40" s="1" t="s">
        <v>73</v>
      </c>
      <c r="K40" s="1" t="s">
        <v>20</v>
      </c>
      <c r="L40" s="1" t="s">
        <v>28</v>
      </c>
      <c r="M40">
        <v>5.9</v>
      </c>
      <c r="N40" s="1" t="s">
        <v>29</v>
      </c>
    </row>
    <row r="41" spans="1:14" x14ac:dyDescent="0.3">
      <c r="A41">
        <v>40</v>
      </c>
      <c r="B41" s="1" t="s">
        <v>97</v>
      </c>
      <c r="C41" s="1" t="s">
        <v>15</v>
      </c>
      <c r="D41" s="1" t="s">
        <v>25</v>
      </c>
      <c r="E41" s="1" t="s">
        <v>45</v>
      </c>
      <c r="F41" s="1" t="s">
        <v>52</v>
      </c>
      <c r="G41">
        <v>6.5</v>
      </c>
      <c r="H41">
        <v>0</v>
      </c>
      <c r="I41">
        <v>1</v>
      </c>
      <c r="J41" s="1" t="s">
        <v>75</v>
      </c>
      <c r="K41" s="1" t="s">
        <v>34</v>
      </c>
      <c r="L41" s="1" t="s">
        <v>35</v>
      </c>
      <c r="M41">
        <v>0</v>
      </c>
      <c r="N41" s="1" t="s">
        <v>35</v>
      </c>
    </row>
    <row r="42" spans="1:14" x14ac:dyDescent="0.3">
      <c r="A42">
        <v>41</v>
      </c>
      <c r="B42" s="1" t="s">
        <v>98</v>
      </c>
      <c r="C42" s="1" t="s">
        <v>24</v>
      </c>
      <c r="D42" s="1" t="s">
        <v>16</v>
      </c>
      <c r="E42" s="1" t="s">
        <v>17</v>
      </c>
      <c r="F42" s="1" t="s">
        <v>18</v>
      </c>
      <c r="G42">
        <v>8.4</v>
      </c>
      <c r="H42">
        <v>2</v>
      </c>
      <c r="I42">
        <v>2</v>
      </c>
      <c r="J42" s="1" t="s">
        <v>68</v>
      </c>
      <c r="K42" s="1" t="s">
        <v>20</v>
      </c>
      <c r="L42" s="1" t="s">
        <v>21</v>
      </c>
      <c r="M42">
        <v>11.2</v>
      </c>
      <c r="N42" s="1" t="s">
        <v>22</v>
      </c>
    </row>
    <row r="43" spans="1:14" x14ac:dyDescent="0.3">
      <c r="A43">
        <v>42</v>
      </c>
      <c r="B43" s="1" t="s">
        <v>99</v>
      </c>
      <c r="C43" s="1" t="s">
        <v>15</v>
      </c>
      <c r="D43" s="1" t="s">
        <v>25</v>
      </c>
      <c r="E43" s="1" t="s">
        <v>26</v>
      </c>
      <c r="F43" s="1" t="s">
        <v>32</v>
      </c>
      <c r="G43">
        <v>7.5</v>
      </c>
      <c r="H43">
        <v>1</v>
      </c>
      <c r="I43">
        <v>1</v>
      </c>
      <c r="J43" s="1" t="s">
        <v>60</v>
      </c>
      <c r="K43" s="1" t="s">
        <v>20</v>
      </c>
      <c r="L43" s="1" t="s">
        <v>28</v>
      </c>
      <c r="M43">
        <v>6.3</v>
      </c>
      <c r="N43" s="1" t="s">
        <v>29</v>
      </c>
    </row>
    <row r="44" spans="1:14" x14ac:dyDescent="0.3">
      <c r="A44">
        <v>43</v>
      </c>
      <c r="B44" s="1" t="s">
        <v>100</v>
      </c>
      <c r="C44" s="1" t="s">
        <v>24</v>
      </c>
      <c r="D44" s="1" t="s">
        <v>37</v>
      </c>
      <c r="E44" s="1" t="s">
        <v>31</v>
      </c>
      <c r="F44" s="1" t="s">
        <v>52</v>
      </c>
      <c r="G44">
        <v>6</v>
      </c>
      <c r="H44">
        <v>0</v>
      </c>
      <c r="I44">
        <v>1</v>
      </c>
      <c r="J44" s="1" t="s">
        <v>62</v>
      </c>
      <c r="K44" s="1" t="s">
        <v>34</v>
      </c>
      <c r="L44" s="1" t="s">
        <v>35</v>
      </c>
      <c r="M44">
        <v>0</v>
      </c>
      <c r="N44" s="1" t="s">
        <v>35</v>
      </c>
    </row>
    <row r="45" spans="1:14" x14ac:dyDescent="0.3">
      <c r="A45">
        <v>44</v>
      </c>
      <c r="B45" s="1" t="s">
        <v>101</v>
      </c>
      <c r="C45" s="1" t="s">
        <v>15</v>
      </c>
      <c r="D45" s="1" t="s">
        <v>16</v>
      </c>
      <c r="E45" s="1" t="s">
        <v>17</v>
      </c>
      <c r="F45" s="1" t="s">
        <v>18</v>
      </c>
      <c r="G45">
        <v>9.1</v>
      </c>
      <c r="H45">
        <v>3</v>
      </c>
      <c r="I45">
        <v>3</v>
      </c>
      <c r="J45" s="1" t="s">
        <v>19</v>
      </c>
      <c r="K45" s="1" t="s">
        <v>20</v>
      </c>
      <c r="L45" s="1" t="s">
        <v>21</v>
      </c>
      <c r="M45">
        <v>16</v>
      </c>
      <c r="N45" s="1" t="s">
        <v>22</v>
      </c>
    </row>
    <row r="46" spans="1:14" x14ac:dyDescent="0.3">
      <c r="A46">
        <v>45</v>
      </c>
      <c r="B46" s="1" t="s">
        <v>102</v>
      </c>
      <c r="C46" s="1" t="s">
        <v>24</v>
      </c>
      <c r="D46" s="1" t="s">
        <v>16</v>
      </c>
      <c r="E46" s="1" t="s">
        <v>40</v>
      </c>
      <c r="F46" s="1" t="s">
        <v>32</v>
      </c>
      <c r="G46">
        <v>7</v>
      </c>
      <c r="H46">
        <v>1</v>
      </c>
      <c r="I46">
        <v>1</v>
      </c>
      <c r="J46" s="1" t="s">
        <v>41</v>
      </c>
      <c r="K46" s="1" t="s">
        <v>20</v>
      </c>
      <c r="L46" s="1" t="s">
        <v>42</v>
      </c>
      <c r="M46">
        <v>5.0999999999999996</v>
      </c>
      <c r="N46" s="1" t="s">
        <v>43</v>
      </c>
    </row>
    <row r="47" spans="1:14" x14ac:dyDescent="0.3">
      <c r="A47">
        <v>46</v>
      </c>
      <c r="B47" s="1" t="s">
        <v>103</v>
      </c>
      <c r="C47" s="1" t="s">
        <v>15</v>
      </c>
      <c r="D47" s="1" t="s">
        <v>25</v>
      </c>
      <c r="E47" s="1" t="s">
        <v>45</v>
      </c>
      <c r="F47" s="1" t="s">
        <v>32</v>
      </c>
      <c r="G47">
        <v>7.8</v>
      </c>
      <c r="H47">
        <v>1</v>
      </c>
      <c r="I47">
        <v>2</v>
      </c>
      <c r="J47" s="1" t="s">
        <v>82</v>
      </c>
      <c r="K47" s="1" t="s">
        <v>20</v>
      </c>
      <c r="L47" s="1" t="s">
        <v>28</v>
      </c>
      <c r="M47">
        <v>7</v>
      </c>
      <c r="N47" s="1" t="s">
        <v>47</v>
      </c>
    </row>
    <row r="48" spans="1:14" x14ac:dyDescent="0.3">
      <c r="A48">
        <v>47</v>
      </c>
      <c r="B48" s="1" t="s">
        <v>104</v>
      </c>
      <c r="C48" s="1" t="s">
        <v>24</v>
      </c>
      <c r="D48" s="1" t="s">
        <v>16</v>
      </c>
      <c r="E48" s="1" t="s">
        <v>17</v>
      </c>
      <c r="F48" s="1" t="s">
        <v>18</v>
      </c>
      <c r="G48">
        <v>8.6999999999999993</v>
      </c>
      <c r="H48">
        <v>2</v>
      </c>
      <c r="I48">
        <v>2</v>
      </c>
      <c r="J48" s="1" t="s">
        <v>49</v>
      </c>
      <c r="K48" s="1" t="s">
        <v>20</v>
      </c>
      <c r="L48" s="1" t="s">
        <v>21</v>
      </c>
      <c r="M48">
        <v>12.2</v>
      </c>
      <c r="N48" s="1" t="s">
        <v>22</v>
      </c>
    </row>
    <row r="49" spans="1:14" x14ac:dyDescent="0.3">
      <c r="A49">
        <v>48</v>
      </c>
      <c r="B49" s="1" t="s">
        <v>105</v>
      </c>
      <c r="C49" s="1" t="s">
        <v>15</v>
      </c>
      <c r="D49" s="1" t="s">
        <v>16</v>
      </c>
      <c r="E49" s="1" t="s">
        <v>26</v>
      </c>
      <c r="F49" s="1" t="s">
        <v>18</v>
      </c>
      <c r="G49">
        <v>8.3000000000000007</v>
      </c>
      <c r="H49">
        <v>2</v>
      </c>
      <c r="I49">
        <v>2</v>
      </c>
      <c r="J49" s="1" t="s">
        <v>85</v>
      </c>
      <c r="K49" s="1" t="s">
        <v>20</v>
      </c>
      <c r="L49" s="1" t="s">
        <v>21</v>
      </c>
      <c r="M49">
        <v>11.8</v>
      </c>
      <c r="N49" s="1" t="s">
        <v>29</v>
      </c>
    </row>
    <row r="50" spans="1:14" x14ac:dyDescent="0.3">
      <c r="A50">
        <v>49</v>
      </c>
      <c r="B50" s="1" t="s">
        <v>106</v>
      </c>
      <c r="C50" s="1" t="s">
        <v>24</v>
      </c>
      <c r="D50" s="1" t="s">
        <v>25</v>
      </c>
      <c r="E50" s="1" t="s">
        <v>31</v>
      </c>
      <c r="F50" s="1" t="s">
        <v>52</v>
      </c>
      <c r="G50">
        <v>5.8</v>
      </c>
      <c r="H50">
        <v>0</v>
      </c>
      <c r="I50">
        <v>0</v>
      </c>
      <c r="J50" s="1" t="s">
        <v>35</v>
      </c>
      <c r="K50" s="1" t="s">
        <v>34</v>
      </c>
      <c r="L50" s="1" t="s">
        <v>35</v>
      </c>
      <c r="M50">
        <v>0</v>
      </c>
      <c r="N50" s="1" t="s">
        <v>35</v>
      </c>
    </row>
    <row r="51" spans="1:14" x14ac:dyDescent="0.3">
      <c r="A51">
        <v>50</v>
      </c>
      <c r="B51" s="1" t="s">
        <v>107</v>
      </c>
      <c r="C51" s="1" t="s">
        <v>15</v>
      </c>
      <c r="D51" s="1" t="s">
        <v>37</v>
      </c>
      <c r="E51" s="1" t="s">
        <v>17</v>
      </c>
      <c r="F51" s="1" t="s">
        <v>32</v>
      </c>
      <c r="G51">
        <v>7.7</v>
      </c>
      <c r="H51">
        <v>1</v>
      </c>
      <c r="I51">
        <v>2</v>
      </c>
      <c r="J51" s="1" t="s">
        <v>54</v>
      </c>
      <c r="K51" s="1" t="s">
        <v>20</v>
      </c>
      <c r="L51" s="1" t="s">
        <v>55</v>
      </c>
      <c r="M51">
        <v>6.7</v>
      </c>
      <c r="N51" s="1" t="s">
        <v>56</v>
      </c>
    </row>
    <row r="52" spans="1:14" x14ac:dyDescent="0.3">
      <c r="A52">
        <v>51</v>
      </c>
      <c r="B52" s="1" t="s">
        <v>108</v>
      </c>
      <c r="C52" s="1" t="s">
        <v>24</v>
      </c>
      <c r="D52" s="1" t="s">
        <v>16</v>
      </c>
      <c r="E52" s="1" t="s">
        <v>17</v>
      </c>
      <c r="F52" s="1" t="s">
        <v>18</v>
      </c>
      <c r="G52">
        <v>9.4</v>
      </c>
      <c r="H52">
        <v>3</v>
      </c>
      <c r="I52">
        <v>5</v>
      </c>
      <c r="J52" s="1" t="s">
        <v>58</v>
      </c>
      <c r="K52" s="1" t="s">
        <v>20</v>
      </c>
      <c r="L52" s="1" t="s">
        <v>21</v>
      </c>
      <c r="M52">
        <v>18.5</v>
      </c>
      <c r="N52" s="1" t="s">
        <v>22</v>
      </c>
    </row>
    <row r="53" spans="1:14" x14ac:dyDescent="0.3">
      <c r="A53">
        <v>52</v>
      </c>
      <c r="B53" s="1" t="s">
        <v>109</v>
      </c>
      <c r="C53" s="1" t="s">
        <v>15</v>
      </c>
      <c r="D53" s="1" t="s">
        <v>25</v>
      </c>
      <c r="E53" s="1" t="s">
        <v>26</v>
      </c>
      <c r="F53" s="1" t="s">
        <v>32</v>
      </c>
      <c r="G53">
        <v>7.4</v>
      </c>
      <c r="H53">
        <v>1</v>
      </c>
      <c r="I53">
        <v>1</v>
      </c>
      <c r="J53" s="1" t="s">
        <v>60</v>
      </c>
      <c r="K53" s="1" t="s">
        <v>20</v>
      </c>
      <c r="L53" s="1" t="s">
        <v>28</v>
      </c>
      <c r="M53">
        <v>6.1</v>
      </c>
      <c r="N53" s="1" t="s">
        <v>29</v>
      </c>
    </row>
    <row r="54" spans="1:14" x14ac:dyDescent="0.3">
      <c r="A54">
        <v>53</v>
      </c>
      <c r="B54" s="1" t="s">
        <v>110</v>
      </c>
      <c r="C54" s="1" t="s">
        <v>24</v>
      </c>
      <c r="D54" s="1" t="s">
        <v>16</v>
      </c>
      <c r="E54" s="1" t="s">
        <v>40</v>
      </c>
      <c r="F54" s="1" t="s">
        <v>52</v>
      </c>
      <c r="G54">
        <v>6.4</v>
      </c>
      <c r="H54">
        <v>0</v>
      </c>
      <c r="I54">
        <v>1</v>
      </c>
      <c r="J54" s="1" t="s">
        <v>62</v>
      </c>
      <c r="K54" s="1" t="s">
        <v>34</v>
      </c>
      <c r="L54" s="1" t="s">
        <v>35</v>
      </c>
      <c r="M54">
        <v>0</v>
      </c>
      <c r="N54" s="1" t="s">
        <v>35</v>
      </c>
    </row>
    <row r="55" spans="1:14" x14ac:dyDescent="0.3">
      <c r="A55">
        <v>54</v>
      </c>
      <c r="B55" s="1" t="s">
        <v>111</v>
      </c>
      <c r="C55" s="1" t="s">
        <v>15</v>
      </c>
      <c r="D55" s="1" t="s">
        <v>16</v>
      </c>
      <c r="E55" s="1" t="s">
        <v>45</v>
      </c>
      <c r="F55" s="1" t="s">
        <v>18</v>
      </c>
      <c r="G55">
        <v>8.1999999999999993</v>
      </c>
      <c r="H55">
        <v>2</v>
      </c>
      <c r="I55">
        <v>2</v>
      </c>
      <c r="J55" s="1" t="s">
        <v>64</v>
      </c>
      <c r="K55" s="1" t="s">
        <v>20</v>
      </c>
      <c r="L55" s="1" t="s">
        <v>42</v>
      </c>
      <c r="M55">
        <v>8.1999999999999993</v>
      </c>
      <c r="N55" s="1" t="s">
        <v>43</v>
      </c>
    </row>
    <row r="56" spans="1:14" x14ac:dyDescent="0.3">
      <c r="A56">
        <v>55</v>
      </c>
      <c r="B56" s="1" t="s">
        <v>112</v>
      </c>
      <c r="C56" s="1" t="s">
        <v>24</v>
      </c>
      <c r="D56" s="1" t="s">
        <v>16</v>
      </c>
      <c r="E56" s="1" t="s">
        <v>17</v>
      </c>
      <c r="F56" s="1" t="s">
        <v>32</v>
      </c>
      <c r="G56">
        <v>7.1</v>
      </c>
      <c r="H56">
        <v>1</v>
      </c>
      <c r="I56">
        <v>1</v>
      </c>
      <c r="J56" s="1" t="s">
        <v>66</v>
      </c>
      <c r="K56" s="1" t="s">
        <v>20</v>
      </c>
      <c r="L56" s="1" t="s">
        <v>28</v>
      </c>
      <c r="M56">
        <v>5.6</v>
      </c>
      <c r="N56" s="1" t="s">
        <v>47</v>
      </c>
    </row>
    <row r="57" spans="1:14" x14ac:dyDescent="0.3">
      <c r="A57">
        <v>56</v>
      </c>
      <c r="B57" s="1" t="s">
        <v>113</v>
      </c>
      <c r="C57" s="1" t="s">
        <v>15</v>
      </c>
      <c r="D57" s="1" t="s">
        <v>37</v>
      </c>
      <c r="E57" s="1" t="s">
        <v>26</v>
      </c>
      <c r="F57" s="1" t="s">
        <v>32</v>
      </c>
      <c r="G57">
        <v>8.1</v>
      </c>
      <c r="H57">
        <v>2</v>
      </c>
      <c r="I57">
        <v>2</v>
      </c>
      <c r="J57" s="1" t="s">
        <v>68</v>
      </c>
      <c r="K57" s="1" t="s">
        <v>20</v>
      </c>
      <c r="L57" s="1" t="s">
        <v>21</v>
      </c>
      <c r="M57">
        <v>9.6999999999999993</v>
      </c>
      <c r="N57" s="1" t="s">
        <v>22</v>
      </c>
    </row>
    <row r="58" spans="1:14" x14ac:dyDescent="0.3">
      <c r="A58">
        <v>57</v>
      </c>
      <c r="B58" s="1" t="s">
        <v>114</v>
      </c>
      <c r="C58" s="1" t="s">
        <v>24</v>
      </c>
      <c r="D58" s="1" t="s">
        <v>25</v>
      </c>
      <c r="E58" s="1" t="s">
        <v>31</v>
      </c>
      <c r="F58" s="1" t="s">
        <v>32</v>
      </c>
      <c r="G58">
        <v>6.9</v>
      </c>
      <c r="H58">
        <v>1</v>
      </c>
      <c r="I58">
        <v>1</v>
      </c>
      <c r="J58" s="1" t="s">
        <v>70</v>
      </c>
      <c r="K58" s="1" t="s">
        <v>20</v>
      </c>
      <c r="L58" s="1" t="s">
        <v>42</v>
      </c>
      <c r="M58">
        <v>5.7</v>
      </c>
      <c r="N58" s="1" t="s">
        <v>43</v>
      </c>
    </row>
    <row r="59" spans="1:14" x14ac:dyDescent="0.3">
      <c r="A59">
        <v>58</v>
      </c>
      <c r="B59" s="1" t="s">
        <v>115</v>
      </c>
      <c r="C59" s="1" t="s">
        <v>15</v>
      </c>
      <c r="D59" s="1" t="s">
        <v>16</v>
      </c>
      <c r="E59" s="1" t="s">
        <v>17</v>
      </c>
      <c r="F59" s="1" t="s">
        <v>18</v>
      </c>
      <c r="G59">
        <v>8.9</v>
      </c>
      <c r="H59">
        <v>2</v>
      </c>
      <c r="I59">
        <v>3</v>
      </c>
      <c r="J59" s="1" t="s">
        <v>19</v>
      </c>
      <c r="K59" s="1" t="s">
        <v>20</v>
      </c>
      <c r="L59" s="1" t="s">
        <v>21</v>
      </c>
      <c r="M59">
        <v>14.5</v>
      </c>
      <c r="N59" s="1" t="s">
        <v>22</v>
      </c>
    </row>
    <row r="60" spans="1:14" x14ac:dyDescent="0.3">
      <c r="A60">
        <v>59</v>
      </c>
      <c r="B60" s="1" t="s">
        <v>116</v>
      </c>
      <c r="C60" s="1" t="s">
        <v>24</v>
      </c>
      <c r="D60" s="1" t="s">
        <v>16</v>
      </c>
      <c r="E60" s="1" t="s">
        <v>40</v>
      </c>
      <c r="F60" s="1" t="s">
        <v>32</v>
      </c>
      <c r="G60">
        <v>7.2</v>
      </c>
      <c r="H60">
        <v>1</v>
      </c>
      <c r="I60">
        <v>1</v>
      </c>
      <c r="J60" s="1" t="s">
        <v>73</v>
      </c>
      <c r="K60" s="1" t="s">
        <v>20</v>
      </c>
      <c r="L60" s="1" t="s">
        <v>28</v>
      </c>
      <c r="M60">
        <v>6.1</v>
      </c>
      <c r="N60" s="1" t="s">
        <v>29</v>
      </c>
    </row>
    <row r="61" spans="1:14" x14ac:dyDescent="0.3">
      <c r="A61">
        <v>60</v>
      </c>
      <c r="B61" s="1" t="s">
        <v>117</v>
      </c>
      <c r="C61" s="1" t="s">
        <v>15</v>
      </c>
      <c r="D61" s="1" t="s">
        <v>25</v>
      </c>
      <c r="E61" s="1" t="s">
        <v>45</v>
      </c>
      <c r="F61" s="1" t="s">
        <v>52</v>
      </c>
      <c r="G61">
        <v>6.6</v>
      </c>
      <c r="H61">
        <v>0</v>
      </c>
      <c r="I61">
        <v>1</v>
      </c>
      <c r="J61" s="1" t="s">
        <v>75</v>
      </c>
      <c r="K61" s="1" t="s">
        <v>34</v>
      </c>
      <c r="L61" s="1" t="s">
        <v>35</v>
      </c>
      <c r="M61">
        <v>0</v>
      </c>
      <c r="N61" s="1" t="s">
        <v>35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AEB6A-D679-4576-8168-FEB1A6E4CCA7}">
  <dimension ref="A1"/>
  <sheetViews>
    <sheetView workbookViewId="0">
      <selection activeCell="A2" sqref="A2"/>
    </sheetView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2EA1C46-4E84-457F-9214-A6F757670CC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Pivot_PlacementRate</vt:lpstr>
      <vt:lpstr>Charts</vt:lpstr>
      <vt:lpstr>Pivot_CTC</vt:lpstr>
      <vt:lpstr>placements_data</vt:lpstr>
      <vt:lpstr>RawData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Bhanu Prasad</dc:creator>
  <cp:lastModifiedBy>Bhanu Prasad</cp:lastModifiedBy>
  <dcterms:created xsi:type="dcterms:W3CDTF">2026-08-21T09:01:06Z</dcterms:created>
  <dcterms:modified xsi:type="dcterms:W3CDTF">2026-08-21T11:13:57Z</dcterms:modified>
</cp:coreProperties>
</file>